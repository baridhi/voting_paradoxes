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ystem information\dreemz &amp; actions\PhD application\Santanu Gupta\Election Results - ECI\"/>
    </mc:Choice>
  </mc:AlternateContent>
  <bookViews>
    <workbookView xWindow="240" yWindow="45" windowWidth="14865" windowHeight="8580" activeTab="2"/>
  </bookViews>
  <sheets>
    <sheet name="3 candidates_LS-2014" sheetId="9" r:id="rId1"/>
    <sheet name="OWNCM_lim" sheetId="7" r:id="rId2"/>
    <sheet name="4 candidates_LS-2014" sheetId="8" r:id="rId3"/>
    <sheet name="LS-2014-values" sheetId="6" r:id="rId4"/>
  </sheets>
  <definedNames>
    <definedName name="_xlnm._FilterDatabase" localSheetId="0" hidden="1">'3 candidates_LS-2014'!$A$2:$AY$545</definedName>
    <definedName name="_xlnm._FilterDatabase" localSheetId="2" hidden="1">'4 candidates_LS-2014'!$A$2:$BL$545</definedName>
    <definedName name="_xlnm._FilterDatabase" localSheetId="3" hidden="1">'LS-2014-values'!$A$2:$AX$545</definedName>
  </definedNames>
  <calcPr calcId="152511"/>
</workbook>
</file>

<file path=xl/calcChain.xml><?xml version="1.0" encoding="utf-8"?>
<calcChain xmlns="http://schemas.openxmlformats.org/spreadsheetml/2006/main">
  <c r="BE279" i="8" l="1"/>
  <c r="BD279" i="8"/>
  <c r="BC279" i="8"/>
  <c r="BB279" i="8"/>
  <c r="AZ279" i="8"/>
  <c r="BA279" i="8" s="1"/>
  <c r="BE278" i="8"/>
  <c r="BD278" i="8"/>
  <c r="BC278" i="8"/>
  <c r="BB278" i="8"/>
  <c r="AZ278" i="8"/>
  <c r="BA278" i="8" s="1"/>
  <c r="BC46" i="8"/>
  <c r="BD46" i="8"/>
  <c r="BE46" i="8"/>
  <c r="BB46" i="8"/>
  <c r="AZ46" i="8"/>
  <c r="BC277" i="9"/>
  <c r="BD277" i="9"/>
  <c r="BB277" i="9"/>
  <c r="AZ277" i="9"/>
  <c r="J74" i="7"/>
  <c r="I74" i="7"/>
  <c r="H74" i="7"/>
  <c r="G74" i="7"/>
  <c r="M73" i="7"/>
  <c r="N73" i="7" s="1"/>
  <c r="L73" i="7"/>
  <c r="J73" i="7"/>
  <c r="I73" i="7"/>
  <c r="H73" i="7"/>
  <c r="G73" i="7"/>
  <c r="L72" i="7"/>
  <c r="J72" i="7"/>
  <c r="J77" i="7" s="1"/>
  <c r="N86" i="7" s="1"/>
  <c r="I72" i="7"/>
  <c r="I77" i="7" s="1"/>
  <c r="N84" i="7" s="1"/>
  <c r="H72" i="7"/>
  <c r="H77" i="7" s="1"/>
  <c r="N82" i="7" s="1"/>
  <c r="G72" i="7"/>
  <c r="G77" i="7" s="1"/>
  <c r="N80" i="7" s="1"/>
  <c r="N52" i="7"/>
  <c r="O52" i="7" s="1"/>
  <c r="M52" i="7"/>
  <c r="H56" i="7" s="1"/>
  <c r="N61" i="7" s="1"/>
  <c r="L52" i="7"/>
  <c r="G56" i="7" s="1"/>
  <c r="N59" i="7" s="1"/>
  <c r="N51" i="7"/>
  <c r="O51" i="7" s="1"/>
  <c r="L51" i="7"/>
  <c r="F13" i="7"/>
  <c r="N20" i="7" s="1"/>
  <c r="E13" i="7"/>
  <c r="D13" i="7"/>
  <c r="N16" i="7" s="1"/>
  <c r="F11" i="7"/>
  <c r="G20" i="7" s="1"/>
  <c r="E11" i="7"/>
  <c r="G18" i="7" s="1"/>
  <c r="D11" i="7"/>
  <c r="G16" i="7" s="1"/>
  <c r="BF278" i="8" l="1"/>
  <c r="BH278" i="8" s="1"/>
  <c r="BF279" i="8"/>
  <c r="BG279" i="8" s="1"/>
  <c r="BG278" i="8"/>
  <c r="BA46" i="8"/>
  <c r="BA277" i="9"/>
  <c r="J56" i="7"/>
  <c r="N65" i="7" s="1"/>
  <c r="J55" i="7"/>
  <c r="G65" i="7" s="1"/>
  <c r="N18" i="7"/>
  <c r="G55" i="7"/>
  <c r="G59" i="7" s="1"/>
  <c r="I55" i="7"/>
  <c r="G63" i="7" s="1"/>
  <c r="I56" i="7"/>
  <c r="N63" i="7" s="1"/>
  <c r="G76" i="7"/>
  <c r="G80" i="7" s="1"/>
  <c r="I76" i="7"/>
  <c r="G84" i="7" s="1"/>
  <c r="H55" i="7"/>
  <c r="G61" i="7" s="1"/>
  <c r="H76" i="7"/>
  <c r="G82" i="7" s="1"/>
  <c r="J76" i="7"/>
  <c r="G86" i="7" s="1"/>
  <c r="BH279" i="8" l="1"/>
  <c r="BJ278" i="8"/>
  <c r="BI278" i="8"/>
  <c r="BJ279" i="8"/>
  <c r="BI279" i="8"/>
  <c r="BF46" i="8"/>
  <c r="BK279" i="8" l="1"/>
  <c r="BL279" i="8" s="1"/>
  <c r="BK278" i="8"/>
  <c r="BL278" i="8" s="1"/>
  <c r="G279" i="8"/>
  <c r="BG46" i="8"/>
  <c r="BH46" i="8"/>
  <c r="G278" i="8"/>
  <c r="BJ46" i="8" l="1"/>
  <c r="BI46" i="8"/>
  <c r="BK46" i="8" l="1"/>
  <c r="BL46" i="8" s="1"/>
  <c r="G46" i="8" l="1"/>
</calcChain>
</file>

<file path=xl/sharedStrings.xml><?xml version="1.0" encoding="utf-8"?>
<sst xmlns="http://schemas.openxmlformats.org/spreadsheetml/2006/main" count="3691" uniqueCount="667">
  <si>
    <t>constituency</t>
  </si>
  <si>
    <t>Andhra Pradesh</t>
  </si>
  <si>
    <t>Arunachal Pradesh</t>
  </si>
  <si>
    <t>Assam</t>
  </si>
  <si>
    <t>Bihar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</si>
  <si>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</si>
  <si>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</si>
  <si>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</si>
  <si>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</si>
  <si>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</si>
  <si>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</si>
  <si>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</si>
  <si>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</si>
  <si>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</si>
  <si>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</si>
  <si>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</si>
  <si>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</si>
  <si>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</si>
  <si>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Orissa</t>
  </si>
  <si>
    <t>Punjab</t>
  </si>
  <si>
    <t>Rajasthan</t>
  </si>
  <si>
    <t>Sikkim</t>
  </si>
  <si>
    <t>Tamil Nadu</t>
  </si>
  <si>
    <t>G</t>
  </si>
  <si>
    <t>Tripura</t>
  </si>
  <si>
    <t>Uttar Pradesh</t>
  </si>
  <si>
    <t>Barabanki</t>
  </si>
  <si>
    <t>West Bengal</t>
  </si>
  <si>
    <t>I</t>
  </si>
  <si>
    <t>Chattisgarh</t>
  </si>
  <si>
    <t>Jharkhand</t>
  </si>
  <si>
    <t>Uttarakhand</t>
  </si>
  <si>
    <t>Andaman &amp; Nicobar Islands</t>
  </si>
  <si>
    <t>Chandigarh</t>
  </si>
  <si>
    <t>Dadra &amp; Nagar Haveli</t>
  </si>
  <si>
    <t>Daman &amp; Diu</t>
  </si>
  <si>
    <t>NCT OF Delhi</t>
  </si>
  <si>
    <t>Lakshadweep</t>
  </si>
  <si>
    <t>Puducherry</t>
  </si>
  <si>
    <t>state</t>
  </si>
  <si>
    <t>statecode</t>
  </si>
  <si>
    <t>constituency_no</t>
  </si>
  <si>
    <t>No_Candidates</t>
  </si>
  <si>
    <t>year</t>
  </si>
  <si>
    <t>first</t>
  </si>
  <si>
    <t>second</t>
  </si>
  <si>
    <t>third</t>
  </si>
  <si>
    <t>fourth</t>
  </si>
  <si>
    <t>fifth</t>
  </si>
  <si>
    <t>sixth</t>
  </si>
  <si>
    <t>seventh</t>
  </si>
  <si>
    <t>eighth</t>
  </si>
  <si>
    <t>ninth</t>
  </si>
  <si>
    <t>tenth</t>
  </si>
  <si>
    <t>eleventh</t>
  </si>
  <si>
    <t>twelveth</t>
  </si>
  <si>
    <t>thirteenth</t>
  </si>
  <si>
    <t>fourteenth</t>
  </si>
  <si>
    <t>fifteenth</t>
  </si>
  <si>
    <t>sixteenth</t>
  </si>
  <si>
    <t>seventeenth</t>
  </si>
  <si>
    <t>eighteenth</t>
  </si>
  <si>
    <t>nineteenth</t>
  </si>
  <si>
    <t>twentieth</t>
  </si>
  <si>
    <t>twentyfirst</t>
  </si>
  <si>
    <t>twentysecond</t>
  </si>
  <si>
    <t>twentythird</t>
  </si>
  <si>
    <t>twentyfourth</t>
  </si>
  <si>
    <t>twentyfifth</t>
  </si>
  <si>
    <t>twentysixth</t>
  </si>
  <si>
    <t>twentyseventh</t>
  </si>
  <si>
    <t>twentyeighth</t>
  </si>
  <si>
    <t>twentyninth</t>
  </si>
  <si>
    <t>thirtieth</t>
  </si>
  <si>
    <t>thirtyfirst</t>
  </si>
  <si>
    <t>thirtysecond</t>
  </si>
  <si>
    <t>thirtythird</t>
  </si>
  <si>
    <t>thirtyfourth</t>
  </si>
  <si>
    <t>thirtyfifth</t>
  </si>
  <si>
    <t>thirtysixth</t>
  </si>
  <si>
    <t>thirtyseventh</t>
  </si>
  <si>
    <t>thirtyeightth</t>
  </si>
  <si>
    <t>thirtyninth</t>
  </si>
  <si>
    <t>fortieth</t>
  </si>
  <si>
    <t>fortyfirst</t>
  </si>
  <si>
    <t>fortysecond</t>
  </si>
  <si>
    <t>fortythird</t>
  </si>
  <si>
    <t>total</t>
  </si>
  <si>
    <t>Adilabad</t>
  </si>
  <si>
    <t>Peddapalle</t>
  </si>
  <si>
    <t>Karimnagar</t>
  </si>
  <si>
    <t>Nizamabad</t>
  </si>
  <si>
    <t>Zahirabad</t>
  </si>
  <si>
    <t>Medak</t>
  </si>
  <si>
    <t>Malkajgiri</t>
  </si>
  <si>
    <t>Secundrabad</t>
  </si>
  <si>
    <t>Hyderbad</t>
  </si>
  <si>
    <t>Chelvella</t>
  </si>
  <si>
    <t>Mahbubnagar</t>
  </si>
  <si>
    <t>Nagarkurnool</t>
  </si>
  <si>
    <t>Nalgonda</t>
  </si>
  <si>
    <t>Bhongir</t>
  </si>
  <si>
    <t>Warangal</t>
  </si>
  <si>
    <t>Mahabubabad</t>
  </si>
  <si>
    <t>Khammam</t>
  </si>
  <si>
    <t>Aruku</t>
  </si>
  <si>
    <t>Srikakulam</t>
  </si>
  <si>
    <t>Vizianagaram</t>
  </si>
  <si>
    <t>Visakhapatnam</t>
  </si>
  <si>
    <t>Anakapalli</t>
  </si>
  <si>
    <t>Kakinada</t>
  </si>
  <si>
    <t>Amalapuram</t>
  </si>
  <si>
    <t>Rajahmundry</t>
  </si>
  <si>
    <t>Narsapuram</t>
  </si>
  <si>
    <t>Eluru</t>
  </si>
  <si>
    <t>Machilipatnam</t>
  </si>
  <si>
    <t>Vijayawada</t>
  </si>
  <si>
    <t>Guntur</t>
  </si>
  <si>
    <t>Narasaraopet</t>
  </si>
  <si>
    <t>Bapatla</t>
  </si>
  <si>
    <t>Ongole</t>
  </si>
  <si>
    <t>Nandyal</t>
  </si>
  <si>
    <t>Kurnool</t>
  </si>
  <si>
    <t>Anantapur</t>
  </si>
  <si>
    <t>Hindupur</t>
  </si>
  <si>
    <t>Kadapa</t>
  </si>
  <si>
    <t>Nellore</t>
  </si>
  <si>
    <t>Tirupati</t>
  </si>
  <si>
    <t xml:space="preserve"> Rajampet</t>
  </si>
  <si>
    <t>Chittoor</t>
  </si>
  <si>
    <t>Arunachal West</t>
  </si>
  <si>
    <t>Arunachal East</t>
  </si>
  <si>
    <t>Karimganj</t>
  </si>
  <si>
    <t>Silchar</t>
  </si>
  <si>
    <t>Autonomous District</t>
  </si>
  <si>
    <t>Dhubri</t>
  </si>
  <si>
    <t>Kokrajhar</t>
  </si>
  <si>
    <t>Barpeta</t>
  </si>
  <si>
    <t>Gauhati</t>
  </si>
  <si>
    <t>Mangaldoi</t>
  </si>
  <si>
    <t>Tezpur</t>
  </si>
  <si>
    <t>Nowgong</t>
  </si>
  <si>
    <t>Kaliabor</t>
  </si>
  <si>
    <t>Jorhat</t>
  </si>
  <si>
    <t>Dibrugarh</t>
  </si>
  <si>
    <t>Lakhimpur</t>
  </si>
  <si>
    <t>Valmiki Nagar</t>
  </si>
  <si>
    <t>Paschim Champaran</t>
  </si>
  <si>
    <t>Purvi Champaran</t>
  </si>
  <si>
    <t>Sheohar</t>
  </si>
  <si>
    <t>Sitamarhi</t>
  </si>
  <si>
    <t>Madhubani</t>
  </si>
  <si>
    <t>Jhanjharpur</t>
  </si>
  <si>
    <t>Supaul</t>
  </si>
  <si>
    <t>Araria</t>
  </si>
  <si>
    <t>Kishanganj</t>
  </si>
  <si>
    <t>Katihar</t>
  </si>
  <si>
    <t>Purnia</t>
  </si>
  <si>
    <t>Madhepura</t>
  </si>
  <si>
    <t>Darbhanga</t>
  </si>
  <si>
    <t>Muzaffarpur</t>
  </si>
  <si>
    <t>Vaishali</t>
  </si>
  <si>
    <t>Gopalganj</t>
  </si>
  <si>
    <t>Siwan</t>
  </si>
  <si>
    <t>Maharajganj</t>
  </si>
  <si>
    <t>Saran</t>
  </si>
  <si>
    <t>Hajipur</t>
  </si>
  <si>
    <t>Ujiarpur</t>
  </si>
  <si>
    <t>Samastipur</t>
  </si>
  <si>
    <t>Begusarai</t>
  </si>
  <si>
    <t>Khagaria</t>
  </si>
  <si>
    <t>Bhagalpur</t>
  </si>
  <si>
    <t>Banka</t>
  </si>
  <si>
    <t>Munger</t>
  </si>
  <si>
    <t>Nalanda</t>
  </si>
  <si>
    <t>Patna Sahib</t>
  </si>
  <si>
    <t>Pataliputra</t>
  </si>
  <si>
    <t>Arrah</t>
  </si>
  <si>
    <t>Buxar</t>
  </si>
  <si>
    <t>Sasaram</t>
  </si>
  <si>
    <t>Karakat</t>
  </si>
  <si>
    <t>Jahanabad</t>
  </si>
  <si>
    <t>Aurangabad</t>
  </si>
  <si>
    <t>Gaya</t>
  </si>
  <si>
    <t>Nawada</t>
  </si>
  <si>
    <t>Jamui</t>
  </si>
  <si>
    <t>North Goa</t>
  </si>
  <si>
    <t>South Goa</t>
  </si>
  <si>
    <t>Kachchh</t>
  </si>
  <si>
    <t>Banaskantha</t>
  </si>
  <si>
    <t>Patan</t>
  </si>
  <si>
    <t>Mahesana</t>
  </si>
  <si>
    <t>Sabarkantha</t>
  </si>
  <si>
    <t>Gandhinagar</t>
  </si>
  <si>
    <t>Ahmedabad West</t>
  </si>
  <si>
    <t>Surendranagar</t>
  </si>
  <si>
    <t>Rajkot</t>
  </si>
  <si>
    <t>Porbandar</t>
  </si>
  <si>
    <t>Jamnagar</t>
  </si>
  <si>
    <t>Junagadh</t>
  </si>
  <si>
    <t>Amreli</t>
  </si>
  <si>
    <t>Bhavnagar</t>
  </si>
  <si>
    <t>Anand</t>
  </si>
  <si>
    <t>Kheda</t>
  </si>
  <si>
    <t>Panchmahal</t>
  </si>
  <si>
    <t>Dahod</t>
  </si>
  <si>
    <t>Vadodara</t>
  </si>
  <si>
    <t>Chhota Udaipur</t>
  </si>
  <si>
    <t>Bharuch</t>
  </si>
  <si>
    <t>Bardoli</t>
  </si>
  <si>
    <t>Surat</t>
  </si>
  <si>
    <t>Navsari</t>
  </si>
  <si>
    <t>Valsad</t>
  </si>
  <si>
    <t>Ambala</t>
  </si>
  <si>
    <t>Kurukshetra</t>
  </si>
  <si>
    <t>Sirsa</t>
  </si>
  <si>
    <t>Hisar</t>
  </si>
  <si>
    <t>Karnal</t>
  </si>
  <si>
    <t>Sonipat</t>
  </si>
  <si>
    <t>Rohtak</t>
  </si>
  <si>
    <t>Bhiwani-Mahendragarh</t>
  </si>
  <si>
    <t>Gurgaon</t>
  </si>
  <si>
    <t>Faridabad</t>
  </si>
  <si>
    <t>Kangra</t>
  </si>
  <si>
    <t>Mandi</t>
  </si>
  <si>
    <t>Hamirpur</t>
  </si>
  <si>
    <t>Shimla</t>
  </si>
  <si>
    <t>Baramulla</t>
  </si>
  <si>
    <t>Srinagar</t>
  </si>
  <si>
    <t>Anantnag</t>
  </si>
  <si>
    <t>Ladakh</t>
  </si>
  <si>
    <t>Udhampur</t>
  </si>
  <si>
    <t>Jammu</t>
  </si>
  <si>
    <t>Chikkodi</t>
  </si>
  <si>
    <t>Belgaum</t>
  </si>
  <si>
    <t>Bagalkot</t>
  </si>
  <si>
    <t>Bijapur</t>
  </si>
  <si>
    <t>Gulbarga</t>
  </si>
  <si>
    <t>Raichur</t>
  </si>
  <si>
    <t>Bidar</t>
  </si>
  <si>
    <t>Koppal</t>
  </si>
  <si>
    <t>Bellary</t>
  </si>
  <si>
    <t>Haveri</t>
  </si>
  <si>
    <t>Dharwad</t>
  </si>
  <si>
    <t>Uttara Kann</t>
  </si>
  <si>
    <t>Davanagere</t>
  </si>
  <si>
    <t>Shimoga</t>
  </si>
  <si>
    <t>Udupi Chikmagalur</t>
  </si>
  <si>
    <t>Hassan</t>
  </si>
  <si>
    <t>Dakshina Kannada</t>
  </si>
  <si>
    <t>Chitradurga</t>
  </si>
  <si>
    <t>Tumkur</t>
  </si>
  <si>
    <t>Mandya</t>
  </si>
  <si>
    <t>Mysore</t>
  </si>
  <si>
    <t>Chamarajan</t>
  </si>
  <si>
    <t>Bangalore Rural</t>
  </si>
  <si>
    <t>Bangalore North</t>
  </si>
  <si>
    <t>Bangalore central</t>
  </si>
  <si>
    <t>Bangalore South</t>
  </si>
  <si>
    <t>Chikkballapur</t>
  </si>
  <si>
    <t>Kolar</t>
  </si>
  <si>
    <t>Kasaragod</t>
  </si>
  <si>
    <t>Kannur</t>
  </si>
  <si>
    <t>Vadakara</t>
  </si>
  <si>
    <t>Wayanad</t>
  </si>
  <si>
    <t>Kozhikode</t>
  </si>
  <si>
    <t>Malappuram</t>
  </si>
  <si>
    <t>Ponnani</t>
  </si>
  <si>
    <t>Palakkad</t>
  </si>
  <si>
    <t>Alathur</t>
  </si>
  <si>
    <t>Thrissur</t>
  </si>
  <si>
    <t>Chalakudy</t>
  </si>
  <si>
    <t>Ernakulam</t>
  </si>
  <si>
    <t>Idukki</t>
  </si>
  <si>
    <t>Kottayam</t>
  </si>
  <si>
    <t>Alappuzha</t>
  </si>
  <si>
    <t>Mavelikkara</t>
  </si>
  <si>
    <t>Pathanamthitta</t>
  </si>
  <si>
    <t>Kollam</t>
  </si>
  <si>
    <t>Attingal</t>
  </si>
  <si>
    <t>Thiruvananthapuram</t>
  </si>
  <si>
    <t>Morena</t>
  </si>
  <si>
    <t>Bhind</t>
  </si>
  <si>
    <t>Gwalior</t>
  </si>
  <si>
    <t>Guna</t>
  </si>
  <si>
    <t>Sagar</t>
  </si>
  <si>
    <t>Tikamgarh</t>
  </si>
  <si>
    <t>Damoh</t>
  </si>
  <si>
    <t>Khajuraho</t>
  </si>
  <si>
    <t>Satna</t>
  </si>
  <si>
    <t>Rewa</t>
  </si>
  <si>
    <t>Sidhi</t>
  </si>
  <si>
    <t>Shahdol</t>
  </si>
  <si>
    <t>Jabalpur</t>
  </si>
  <si>
    <t>Mandla</t>
  </si>
  <si>
    <t>Balaghat</t>
  </si>
  <si>
    <t>Chhindwara</t>
  </si>
  <si>
    <t>Hoshangabad</t>
  </si>
  <si>
    <t>Vidisha</t>
  </si>
  <si>
    <t>Bhopal</t>
  </si>
  <si>
    <t>Rajgarh</t>
  </si>
  <si>
    <t>Dewas</t>
  </si>
  <si>
    <t>Ujjain</t>
  </si>
  <si>
    <t>Mandsour</t>
  </si>
  <si>
    <t>Ratlam</t>
  </si>
  <si>
    <t>Dhar</t>
  </si>
  <si>
    <t>Indore</t>
  </si>
  <si>
    <t>Khargone</t>
  </si>
  <si>
    <t>Khandwa</t>
  </si>
  <si>
    <t>Betul</t>
  </si>
  <si>
    <t>Nandurbar</t>
  </si>
  <si>
    <t>Dhule</t>
  </si>
  <si>
    <t>Jalgaon</t>
  </si>
  <si>
    <t>Raver</t>
  </si>
  <si>
    <t>Buldhana</t>
  </si>
  <si>
    <t>Akola</t>
  </si>
  <si>
    <t>Amravati</t>
  </si>
  <si>
    <t>Wardha</t>
  </si>
  <si>
    <t>Ramtek</t>
  </si>
  <si>
    <t>Nagpur</t>
  </si>
  <si>
    <t>Bhandara - gondiya</t>
  </si>
  <si>
    <t>Gadchiroli-Chimur</t>
  </si>
  <si>
    <t>Chandrapur</t>
  </si>
  <si>
    <t>Yavatmal-Washim</t>
  </si>
  <si>
    <t>Hingoli</t>
  </si>
  <si>
    <t>Nanded</t>
  </si>
  <si>
    <t>Parbhani</t>
  </si>
  <si>
    <t>Jalna</t>
  </si>
  <si>
    <t>Dindori</t>
  </si>
  <si>
    <t>Nashik</t>
  </si>
  <si>
    <t>Palghar</t>
  </si>
  <si>
    <t>Bhiwandi</t>
  </si>
  <si>
    <t>Kalyan</t>
  </si>
  <si>
    <t>Thane</t>
  </si>
  <si>
    <t>Mumbai North</t>
  </si>
  <si>
    <t>Mumbai North West</t>
  </si>
  <si>
    <t>Mumbai North East</t>
  </si>
  <si>
    <t>Mumbai North central</t>
  </si>
  <si>
    <t>Mumbai South central</t>
  </si>
  <si>
    <t>Mumbai   South</t>
  </si>
  <si>
    <t>Raigad</t>
  </si>
  <si>
    <t>Maval</t>
  </si>
  <si>
    <t>Pune</t>
  </si>
  <si>
    <t>Baramati</t>
  </si>
  <si>
    <t>Shirur</t>
  </si>
  <si>
    <t>Ahmadnagar</t>
  </si>
  <si>
    <t>Shirdi</t>
  </si>
  <si>
    <t>Beed</t>
  </si>
  <si>
    <t>Osmanabad</t>
  </si>
  <si>
    <t>Latur</t>
  </si>
  <si>
    <t>Solapur</t>
  </si>
  <si>
    <t>Madha</t>
  </si>
  <si>
    <t>Sangli</t>
  </si>
  <si>
    <t>Satara</t>
  </si>
  <si>
    <t>Ratnagiri - sindhudurg</t>
  </si>
  <si>
    <t>Kolhapur</t>
  </si>
  <si>
    <t>Hatkanangle</t>
  </si>
  <si>
    <t>Inner manipur</t>
  </si>
  <si>
    <t>Outer manipur</t>
  </si>
  <si>
    <t>Shillong</t>
  </si>
  <si>
    <t>Tura</t>
  </si>
  <si>
    <t>Bargarh</t>
  </si>
  <si>
    <t>Sundargarh</t>
  </si>
  <si>
    <t>Sambalpur</t>
  </si>
  <si>
    <t>Keonjhar</t>
  </si>
  <si>
    <t>Mayurbhanj</t>
  </si>
  <si>
    <t>Balasore</t>
  </si>
  <si>
    <t>Bhadrak</t>
  </si>
  <si>
    <t>Jajpur</t>
  </si>
  <si>
    <t>Dhenkanal</t>
  </si>
  <si>
    <t>Bolangir</t>
  </si>
  <si>
    <t>Kalahandi</t>
  </si>
  <si>
    <t>Nabarangpur</t>
  </si>
  <si>
    <t>Kandhamal</t>
  </si>
  <si>
    <t>Cuttack</t>
  </si>
  <si>
    <t>Kendrapara</t>
  </si>
  <si>
    <t>Jagatsinghpur</t>
  </si>
  <si>
    <t>Puri</t>
  </si>
  <si>
    <t>Bhubaneswar</t>
  </si>
  <si>
    <t>Aska</t>
  </si>
  <si>
    <t>Berhampur</t>
  </si>
  <si>
    <t>Koraput</t>
  </si>
  <si>
    <t>Gurdaspur</t>
  </si>
  <si>
    <t>Amritsar</t>
  </si>
  <si>
    <t>Khadoor Sa</t>
  </si>
  <si>
    <t>Jalandhar</t>
  </si>
  <si>
    <t>Hoshiarpur</t>
  </si>
  <si>
    <t>Anandpur Sahib</t>
  </si>
  <si>
    <t>Ludhiana</t>
  </si>
  <si>
    <t>Fatehgarh Sahib</t>
  </si>
  <si>
    <t>Faridkot</t>
  </si>
  <si>
    <t>Ferozpur</t>
  </si>
  <si>
    <t>Bathinda</t>
  </si>
  <si>
    <t>Sangrur</t>
  </si>
  <si>
    <t>Patiala</t>
  </si>
  <si>
    <t>Ganganagar</t>
  </si>
  <si>
    <t>Bikaner</t>
  </si>
  <si>
    <t>Churu</t>
  </si>
  <si>
    <t>Jhunjhunu</t>
  </si>
  <si>
    <t>Sikar</t>
  </si>
  <si>
    <t>Jaipur Rural</t>
  </si>
  <si>
    <t>Jaipur</t>
  </si>
  <si>
    <t>Alwar</t>
  </si>
  <si>
    <t>Bharatpur</t>
  </si>
  <si>
    <t>Karauli-Dholpur</t>
  </si>
  <si>
    <t>Dausa</t>
  </si>
  <si>
    <t>Tonk-Sawai Madhopur</t>
  </si>
  <si>
    <t>Ajmer</t>
  </si>
  <si>
    <t>Nagaur</t>
  </si>
  <si>
    <t>Pali</t>
  </si>
  <si>
    <t>Jodhpur</t>
  </si>
  <si>
    <t>Barmer</t>
  </si>
  <si>
    <t>Jalore</t>
  </si>
  <si>
    <t>Udaipur</t>
  </si>
  <si>
    <t>Banswara</t>
  </si>
  <si>
    <t>Chittorgarh</t>
  </si>
  <si>
    <t>Rajsamand</t>
  </si>
  <si>
    <t>Bhilwara</t>
  </si>
  <si>
    <t>Kota</t>
  </si>
  <si>
    <t>Jhalawar-Bara</t>
  </si>
  <si>
    <t>Thiruvallur</t>
  </si>
  <si>
    <t>Chennai North</t>
  </si>
  <si>
    <t>Chennai South</t>
  </si>
  <si>
    <t>Chennai central</t>
  </si>
  <si>
    <t>Sriperumbudur</t>
  </si>
  <si>
    <t>Kancheepuram</t>
  </si>
  <si>
    <t>Arakkonam</t>
  </si>
  <si>
    <t>Vellore</t>
  </si>
  <si>
    <t>Krishnagiri</t>
  </si>
  <si>
    <t>Dharmapuri</t>
  </si>
  <si>
    <t>Tiruvannamalai</t>
  </si>
  <si>
    <t>Arani</t>
  </si>
  <si>
    <t>Viluppuram</t>
  </si>
  <si>
    <t>Kallakurichi</t>
  </si>
  <si>
    <t>Salem</t>
  </si>
  <si>
    <t>Namakkal</t>
  </si>
  <si>
    <t>Erode</t>
  </si>
  <si>
    <t>Tiruppur</t>
  </si>
  <si>
    <t>Nilgiris</t>
  </si>
  <si>
    <t>Coimbatore</t>
  </si>
  <si>
    <t>Pollachi</t>
  </si>
  <si>
    <t>Dindigul</t>
  </si>
  <si>
    <t>Karur</t>
  </si>
  <si>
    <t>Tiruchirappalli</t>
  </si>
  <si>
    <t>Perambalur</t>
  </si>
  <si>
    <t>Cuddalore</t>
  </si>
  <si>
    <t>Chidambaram</t>
  </si>
  <si>
    <t>Mayiladuthurai</t>
  </si>
  <si>
    <t>Nagapattinam</t>
  </si>
  <si>
    <t>Thanjavur</t>
  </si>
  <si>
    <t>Sivaganga</t>
  </si>
  <si>
    <t>Madurai</t>
  </si>
  <si>
    <t>Theni</t>
  </si>
  <si>
    <t>Virudhunagar</t>
  </si>
  <si>
    <t>Ramanathapuram</t>
  </si>
  <si>
    <t>Thoothukkudi</t>
  </si>
  <si>
    <t>Tenkasi</t>
  </si>
  <si>
    <t>Tirunelveli</t>
  </si>
  <si>
    <t>Kanniyakumari</t>
  </si>
  <si>
    <t>Tripura West</t>
  </si>
  <si>
    <t>Tripura East</t>
  </si>
  <si>
    <t>Saharanpur</t>
  </si>
  <si>
    <t>Kairana</t>
  </si>
  <si>
    <t>Muzaffarnagar</t>
  </si>
  <si>
    <t>Bijnor</t>
  </si>
  <si>
    <t>Nagina</t>
  </si>
  <si>
    <t>Moradabad</t>
  </si>
  <si>
    <t>Rampur</t>
  </si>
  <si>
    <t>Sambhal</t>
  </si>
  <si>
    <t>Amroha</t>
  </si>
  <si>
    <t>Meerut</t>
  </si>
  <si>
    <t>Baghpat</t>
  </si>
  <si>
    <t>Ghaziabad</t>
  </si>
  <si>
    <t>Gautam buddh Nagar</t>
  </si>
  <si>
    <t>Bulandshahr</t>
  </si>
  <si>
    <t>Aligarh</t>
  </si>
  <si>
    <t>Hathras</t>
  </si>
  <si>
    <t>Mathura</t>
  </si>
  <si>
    <t>Agra</t>
  </si>
  <si>
    <t>Fatehpur sikri</t>
  </si>
  <si>
    <t>Firozabad</t>
  </si>
  <si>
    <t>Mainpuri</t>
  </si>
  <si>
    <t>Etah</t>
  </si>
  <si>
    <t>Badaun</t>
  </si>
  <si>
    <t>Aonla</t>
  </si>
  <si>
    <t>Bareilly</t>
  </si>
  <si>
    <t>Pilibhit</t>
  </si>
  <si>
    <t>Shahjahanpur</t>
  </si>
  <si>
    <t>Kheri</t>
  </si>
  <si>
    <t>Dhaurahra</t>
  </si>
  <si>
    <t>Sitapur</t>
  </si>
  <si>
    <t>Hardoi</t>
  </si>
  <si>
    <t>Misrikh</t>
  </si>
  <si>
    <t>Unnao</t>
  </si>
  <si>
    <t>Mohanlalganj</t>
  </si>
  <si>
    <t>Lucknow</t>
  </si>
  <si>
    <t>Rae bareli</t>
  </si>
  <si>
    <t>Amethi</t>
  </si>
  <si>
    <t>Sultanpur</t>
  </si>
  <si>
    <t>Pratapgarh</t>
  </si>
  <si>
    <t>Farrukhabad</t>
  </si>
  <si>
    <t>Etawah</t>
  </si>
  <si>
    <t>Kannauj</t>
  </si>
  <si>
    <t>Kanpur</t>
  </si>
  <si>
    <t>Akbarpur</t>
  </si>
  <si>
    <t>Jalaun</t>
  </si>
  <si>
    <t>Jhansi</t>
  </si>
  <si>
    <t>Banda</t>
  </si>
  <si>
    <t>Fatehpur</t>
  </si>
  <si>
    <t>Kaushambi</t>
  </si>
  <si>
    <t>Phulpur</t>
  </si>
  <si>
    <t>Allahabad</t>
  </si>
  <si>
    <t>Faizabad</t>
  </si>
  <si>
    <t>Ambedkar Nagar</t>
  </si>
  <si>
    <t>Bahraich</t>
  </si>
  <si>
    <t>Kaiserganj</t>
  </si>
  <si>
    <t>Shrawasti</t>
  </si>
  <si>
    <t>Gonda</t>
  </si>
  <si>
    <t>Domariyaganj</t>
  </si>
  <si>
    <t>Basti</t>
  </si>
  <si>
    <t>Sant kabir Nagar</t>
  </si>
  <si>
    <t>Gorakhpur</t>
  </si>
  <si>
    <t>Kushi Nagar</t>
  </si>
  <si>
    <t>Deoria</t>
  </si>
  <si>
    <t>Bansgaon</t>
  </si>
  <si>
    <t>Lalganj</t>
  </si>
  <si>
    <t>Azamgarh</t>
  </si>
  <si>
    <t>Ghosi</t>
  </si>
  <si>
    <t>Salempur</t>
  </si>
  <si>
    <t>Ballia</t>
  </si>
  <si>
    <t>Jaunpur</t>
  </si>
  <si>
    <t>Machhlishahr</t>
  </si>
  <si>
    <t>Ghazipur</t>
  </si>
  <si>
    <t>Chandauli</t>
  </si>
  <si>
    <t>Varanasi</t>
  </si>
  <si>
    <t>Bhadohi</t>
  </si>
  <si>
    <t>Mirzapur</t>
  </si>
  <si>
    <t>Robertsganj</t>
  </si>
  <si>
    <t>Cooch behar</t>
  </si>
  <si>
    <t>Alipurduars</t>
  </si>
  <si>
    <t>Jalpaiguri</t>
  </si>
  <si>
    <t>Darjeeling</t>
  </si>
  <si>
    <t>Raiganj</t>
  </si>
  <si>
    <t>Balurghat</t>
  </si>
  <si>
    <t>Maldaha Uttar</t>
  </si>
  <si>
    <t>Maldaha Dakshin</t>
  </si>
  <si>
    <t>Jangipur</t>
  </si>
  <si>
    <t>Baharampur</t>
  </si>
  <si>
    <t>Murshidabad</t>
  </si>
  <si>
    <t>Krishnanagar</t>
  </si>
  <si>
    <t>Ranaghat</t>
  </si>
  <si>
    <t>Bangaon</t>
  </si>
  <si>
    <t>Barrackpore</t>
  </si>
  <si>
    <t>Dum dum</t>
  </si>
  <si>
    <t>Barasat</t>
  </si>
  <si>
    <t>Basirhat</t>
  </si>
  <si>
    <t>Joynagar</t>
  </si>
  <si>
    <t>Mathurapur</t>
  </si>
  <si>
    <t>Diamond harbour</t>
  </si>
  <si>
    <t>Jadavpur</t>
  </si>
  <si>
    <t>Kolkata Dakshin</t>
  </si>
  <si>
    <t>Kolkata Uttar</t>
  </si>
  <si>
    <t>Howrah</t>
  </si>
  <si>
    <t>Uluberia</t>
  </si>
  <si>
    <t>Srerampur</t>
  </si>
  <si>
    <t>Hooghly</t>
  </si>
  <si>
    <t>Arambagh</t>
  </si>
  <si>
    <t>Tamluk</t>
  </si>
  <si>
    <t>Kanthi</t>
  </si>
  <si>
    <t>Ghatal</t>
  </si>
  <si>
    <t>Jhargram</t>
  </si>
  <si>
    <t>Medinipur</t>
  </si>
  <si>
    <t>Purulia</t>
  </si>
  <si>
    <t>Bankura</t>
  </si>
  <si>
    <t>Bishnupur</t>
  </si>
  <si>
    <t>Bardhaman Purba</t>
  </si>
  <si>
    <t>Burdwan - durgapur</t>
  </si>
  <si>
    <t>Asansol</t>
  </si>
  <si>
    <t>Bolpur</t>
  </si>
  <si>
    <t>Birbhum</t>
  </si>
  <si>
    <t>Sarguja</t>
  </si>
  <si>
    <t>Raigarh</t>
  </si>
  <si>
    <t>Janjgir-Champa</t>
  </si>
  <si>
    <t>Korba</t>
  </si>
  <si>
    <t>Bilaspur</t>
  </si>
  <si>
    <t>Rajnandgaon</t>
  </si>
  <si>
    <t>Durg</t>
  </si>
  <si>
    <t>Raipur</t>
  </si>
  <si>
    <t>Mahasamund</t>
  </si>
  <si>
    <t>Bastar</t>
  </si>
  <si>
    <t>Kanker</t>
  </si>
  <si>
    <t>Rajmahal</t>
  </si>
  <si>
    <t>Dumka</t>
  </si>
  <si>
    <t>Godda</t>
  </si>
  <si>
    <t>Chatra</t>
  </si>
  <si>
    <t>Kodarma</t>
  </si>
  <si>
    <t>Giridih</t>
  </si>
  <si>
    <t>Dhanbad</t>
  </si>
  <si>
    <t>Ranchi</t>
  </si>
  <si>
    <t>Jamshedpur</t>
  </si>
  <si>
    <t>Singhbhum</t>
  </si>
  <si>
    <t>Khunti</t>
  </si>
  <si>
    <t>Lohardaga</t>
  </si>
  <si>
    <t>Palamau</t>
  </si>
  <si>
    <t>Hazaribagh</t>
  </si>
  <si>
    <t>Tehri Garhwal</t>
  </si>
  <si>
    <t>Garhwal</t>
  </si>
  <si>
    <t>Almora</t>
  </si>
  <si>
    <t>Nainital-udhamsingh Naagar</t>
  </si>
  <si>
    <t>Hardwar</t>
  </si>
  <si>
    <t>Andaman &amp; nicobar islan ( Total Electors</t>
  </si>
  <si>
    <t>Chandni Chowk</t>
  </si>
  <si>
    <t>North East Delhi</t>
  </si>
  <si>
    <t>East Delhi</t>
  </si>
  <si>
    <t>New Delhi</t>
  </si>
  <si>
    <t>North West Delhi</t>
  </si>
  <si>
    <t>West Delhi</t>
  </si>
  <si>
    <t>South Delhi</t>
  </si>
  <si>
    <t>Ahmedabad</t>
  </si>
  <si>
    <t>OWNCM_PCP</t>
  </si>
  <si>
    <t>3 candidates</t>
  </si>
  <si>
    <t>A’s</t>
  </si>
  <si>
    <t>vote</t>
  </si>
  <si>
    <t>share</t>
  </si>
  <si>
    <t>lower</t>
  </si>
  <si>
    <t>limit</t>
  </si>
  <si>
    <t>upper</t>
  </si>
  <si>
    <t>B’s</t>
  </si>
  <si>
    <t>C’s</t>
  </si>
  <si>
    <t>D</t>
  </si>
  <si>
    <t>K</t>
  </si>
  <si>
    <t>WPCW</t>
  </si>
  <si>
    <t>4 candidates</t>
  </si>
  <si>
    <t>Case - a) - A + D &gt; B+C</t>
  </si>
  <si>
    <t>D’s</t>
  </si>
  <si>
    <t>Case - b) - A + D &lt; B+C</t>
  </si>
  <si>
    <t>Given by the volume captured by:</t>
  </si>
  <si>
    <t>From Fig. 2.1 or 3rd fig of Santanu Sir's 7-pg pdf draft of 13062017</t>
  </si>
  <si>
    <t>X''</t>
  </si>
  <si>
    <t>X'</t>
  </si>
  <si>
    <t>i.e.</t>
  </si>
  <si>
    <t>and</t>
  </si>
  <si>
    <t>Y''</t>
  </si>
  <si>
    <t>Y'</t>
  </si>
  <si>
    <t>B''C"</t>
  </si>
  <si>
    <t>B'C'</t>
  </si>
  <si>
    <t>Min</t>
  </si>
  <si>
    <t>Max</t>
  </si>
  <si>
    <t>Q''</t>
  </si>
  <si>
    <t>Q'</t>
  </si>
  <si>
    <t>R''</t>
  </si>
  <si>
    <t>R'</t>
  </si>
  <si>
    <t>P''</t>
  </si>
  <si>
    <t>P'</t>
  </si>
  <si>
    <t>Winner_vote_share</t>
  </si>
  <si>
    <t>Flag_1</t>
  </si>
  <si>
    <t>A_share</t>
  </si>
  <si>
    <t>B_share</t>
  </si>
  <si>
    <t>C_share</t>
  </si>
  <si>
    <t>PBP</t>
  </si>
  <si>
    <t>D_share</t>
  </si>
  <si>
    <t>A+D &gt; B+C</t>
  </si>
  <si>
    <t>A+D &lt;= B+C</t>
  </si>
  <si>
    <t>WPCW - case A</t>
  </si>
  <si>
    <t>WPCW - case B</t>
  </si>
  <si>
    <t xml:space="preserve">WPCW </t>
  </si>
  <si>
    <t>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</si>
</sst>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000"/>
  </numFmts>
  <fonts count="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2">
    <xf numFmtId="0" fontId="0" fillId="0" borderId="0" xfId="0"/>
    <xf numFmtId="9" fontId="1" fillId="2" borderId="0" xfId="2" applyNumberFormat="1" applyFill="1"/>
    <xf numFmtId="0" fontId="1" fillId="0" borderId="0" xfId="2"/>
    <xf numFmtId="0" fontId="1" fillId="2" borderId="0" xfId="2" applyFill="1"/>
    <xf numFmtId="9" fontId="0" fillId="0" borderId="0" xfId="0" applyNumberFormat="1"/>
    <xf numFmtId="10" fontId="0" fillId="0" borderId="0" xfId="0" applyNumberFormat="1"/>
    <xf numFmtId="4" fontId="0" fillId="0" borderId="0" xfId="0" applyNumberFormat="1"/>
    <xf numFmtId="2" fontId="0" fillId="0" borderId="0" xfId="0" applyNumberFormat="1" applyFill="1" applyBorder="1" applyAlignment="1">
      <alignment horizontal="left" vertical="top"/>
    </xf>
    <xf numFmtId="2" fontId="0" fillId="0" borderId="0" xfId="0" applyNumberFormat="1"/>
    <xf numFmtId="0" fontId="0" fillId="0" borderId="0" xfId="0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165" fontId="0" fillId="0" borderId="0" xfId="0" applyNumberFormat="1" applyFill="1" applyBorder="1" applyAlignment="1">
      <alignment horizontal="left" vertical="top"/>
    </xf>
  </cellXfs>
  <cellStyles count="3">
    <cellStyle name="Normal" xfId="0" builtinId="0"/>
    <cellStyle name="Normal 2" xfId="1"/>
    <cellStyle name="Normal 2 2" xfId="2"/>
  </cellStyles>
  <dxfs count="4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G545"/>
  <sheetViews>
    <sheetView workbookViewId="0">
      <pane xSplit="1" ySplit="2" topLeftCell="B277" activePane="bottomRight" state="frozen"/>
      <selection pane="topRight" activeCell="B1" sqref="B1"/>
      <selection pane="bottomLeft" activeCell="A3" sqref="A3"/>
      <selection pane="bottomRight" activeCell="BA2" sqref="BA2"/>
    </sheetView>
  </sheetViews>
  <sheetFormatPr defaultRowHeight="12.75" x14ac:dyDescent="0.2"/>
  <cols>
    <col min="6" max="6" width="0" hidden="1" customWidth="1"/>
    <col min="11" max="50" width="0" hidden="1" customWidth="1"/>
  </cols>
  <sheetData>
    <row r="1" spans="1:59" x14ac:dyDescent="0.2">
      <c r="H1">
        <v>0</v>
      </c>
      <c r="I1">
        <v>1</v>
      </c>
      <c r="J1">
        <v>2</v>
      </c>
      <c r="K1">
        <v>3</v>
      </c>
      <c r="L1">
        <v>4</v>
      </c>
      <c r="M1">
        <v>5</v>
      </c>
      <c r="N1">
        <v>6</v>
      </c>
      <c r="O1">
        <v>7</v>
      </c>
      <c r="P1">
        <v>8</v>
      </c>
      <c r="Q1">
        <v>9</v>
      </c>
      <c r="R1">
        <v>10</v>
      </c>
      <c r="S1">
        <v>11</v>
      </c>
      <c r="T1">
        <v>12</v>
      </c>
      <c r="U1">
        <v>13</v>
      </c>
      <c r="V1">
        <v>14</v>
      </c>
      <c r="W1">
        <v>15</v>
      </c>
      <c r="X1">
        <v>16</v>
      </c>
      <c r="Y1">
        <v>17</v>
      </c>
      <c r="Z1">
        <v>18</v>
      </c>
      <c r="AA1">
        <v>19</v>
      </c>
      <c r="AB1">
        <v>20</v>
      </c>
      <c r="AC1">
        <v>21</v>
      </c>
      <c r="AD1">
        <v>22</v>
      </c>
      <c r="AE1">
        <v>23</v>
      </c>
      <c r="AF1">
        <v>24</v>
      </c>
      <c r="AG1">
        <v>25</v>
      </c>
      <c r="AH1">
        <v>26</v>
      </c>
      <c r="AI1">
        <v>27</v>
      </c>
      <c r="AJ1">
        <v>28</v>
      </c>
      <c r="AK1">
        <v>29</v>
      </c>
      <c r="AL1">
        <v>30</v>
      </c>
      <c r="AM1">
        <v>31</v>
      </c>
      <c r="AN1">
        <v>32</v>
      </c>
      <c r="AO1">
        <v>33</v>
      </c>
      <c r="AP1">
        <v>34</v>
      </c>
      <c r="AQ1">
        <v>35</v>
      </c>
      <c r="AR1">
        <v>36</v>
      </c>
      <c r="AS1">
        <v>37</v>
      </c>
      <c r="AT1">
        <v>38</v>
      </c>
      <c r="AU1">
        <v>39</v>
      </c>
      <c r="AV1">
        <v>40</v>
      </c>
      <c r="AW1">
        <v>41</v>
      </c>
      <c r="AX1">
        <v>42</v>
      </c>
    </row>
    <row r="2" spans="1:59" x14ac:dyDescent="0.2">
      <c r="A2" t="s">
        <v>39</v>
      </c>
      <c r="B2" t="s">
        <v>40</v>
      </c>
      <c r="C2" t="s">
        <v>41</v>
      </c>
      <c r="D2" t="s">
        <v>42</v>
      </c>
      <c r="E2" t="s">
        <v>0</v>
      </c>
      <c r="F2" t="s">
        <v>43</v>
      </c>
      <c r="G2" s="10" t="s">
        <v>666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59</v>
      </c>
      <c r="X2" t="s">
        <v>60</v>
      </c>
      <c r="Y2" t="s">
        <v>61</v>
      </c>
      <c r="Z2" t="s">
        <v>62</v>
      </c>
      <c r="AA2" t="s">
        <v>63</v>
      </c>
      <c r="AB2" t="s">
        <v>64</v>
      </c>
      <c r="AC2" t="s">
        <v>65</v>
      </c>
      <c r="AD2" t="s">
        <v>66</v>
      </c>
      <c r="AE2" t="s">
        <v>67</v>
      </c>
      <c r="AF2" t="s">
        <v>68</v>
      </c>
      <c r="AG2" t="s">
        <v>69</v>
      </c>
      <c r="AH2" t="s">
        <v>70</v>
      </c>
      <c r="AI2" t="s">
        <v>71</v>
      </c>
      <c r="AJ2" t="s">
        <v>72</v>
      </c>
      <c r="AK2" t="s">
        <v>73</v>
      </c>
      <c r="AL2" t="s">
        <v>74</v>
      </c>
      <c r="AM2" t="s">
        <v>75</v>
      </c>
      <c r="AN2" t="s">
        <v>76</v>
      </c>
      <c r="AO2" t="s">
        <v>77</v>
      </c>
      <c r="AP2" t="s">
        <v>78</v>
      </c>
      <c r="AQ2" t="s">
        <v>79</v>
      </c>
      <c r="AR2" t="s">
        <v>80</v>
      </c>
      <c r="AS2" t="s">
        <v>81</v>
      </c>
      <c r="AT2" t="s">
        <v>82</v>
      </c>
      <c r="AU2" t="s">
        <v>83</v>
      </c>
      <c r="AV2" t="s">
        <v>84</v>
      </c>
      <c r="AW2" t="s">
        <v>85</v>
      </c>
      <c r="AX2" t="s">
        <v>86</v>
      </c>
      <c r="AY2" t="s">
        <v>87</v>
      </c>
      <c r="AZ2" s="4" t="s">
        <v>654</v>
      </c>
      <c r="BA2" s="4" t="s">
        <v>655</v>
      </c>
      <c r="BB2" s="4" t="s">
        <v>656</v>
      </c>
      <c r="BC2" s="4" t="s">
        <v>657</v>
      </c>
      <c r="BD2" s="4" t="s">
        <v>658</v>
      </c>
      <c r="BE2" s="4" t="s">
        <v>619</v>
      </c>
      <c r="BF2" s="4" t="s">
        <v>631</v>
      </c>
      <c r="BG2" s="4" t="s">
        <v>659</v>
      </c>
    </row>
    <row r="3" spans="1:59" hidden="1" x14ac:dyDescent="0.2">
      <c r="A3" t="s">
        <v>1</v>
      </c>
      <c r="C3">
        <v>1</v>
      </c>
      <c r="D3">
        <v>9</v>
      </c>
      <c r="E3" t="s">
        <v>88</v>
      </c>
      <c r="F3">
        <v>2014</v>
      </c>
      <c r="H3">
        <v>430847</v>
      </c>
      <c r="I3">
        <v>259557</v>
      </c>
      <c r="J3">
        <v>184198</v>
      </c>
      <c r="K3">
        <v>94420</v>
      </c>
      <c r="L3">
        <v>41032</v>
      </c>
      <c r="M3">
        <v>17084</v>
      </c>
      <c r="N3">
        <v>8859</v>
      </c>
      <c r="O3">
        <v>5055</v>
      </c>
      <c r="P3">
        <v>4787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1045839</v>
      </c>
    </row>
    <row r="4" spans="1:59" hidden="1" x14ac:dyDescent="0.2">
      <c r="A4" t="s">
        <v>1</v>
      </c>
      <c r="C4">
        <v>2</v>
      </c>
      <c r="D4">
        <v>18</v>
      </c>
      <c r="E4" t="s">
        <v>89</v>
      </c>
      <c r="F4">
        <v>2014</v>
      </c>
      <c r="H4">
        <v>565496</v>
      </c>
      <c r="I4">
        <v>274338</v>
      </c>
      <c r="J4">
        <v>63334</v>
      </c>
      <c r="K4">
        <v>45977</v>
      </c>
      <c r="L4">
        <v>9449</v>
      </c>
      <c r="M4">
        <v>9290</v>
      </c>
      <c r="N4">
        <v>9199</v>
      </c>
      <c r="O4">
        <v>8609</v>
      </c>
      <c r="P4">
        <v>7258</v>
      </c>
      <c r="Q4">
        <v>5361</v>
      </c>
      <c r="R4">
        <v>3866</v>
      </c>
      <c r="S4">
        <v>3699</v>
      </c>
      <c r="T4">
        <v>3266</v>
      </c>
      <c r="U4">
        <v>3020</v>
      </c>
      <c r="V4">
        <v>2742</v>
      </c>
      <c r="W4">
        <v>2674</v>
      </c>
      <c r="X4">
        <v>2361</v>
      </c>
      <c r="Y4">
        <v>2245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1022184</v>
      </c>
    </row>
    <row r="5" spans="1:59" hidden="1" x14ac:dyDescent="0.2">
      <c r="A5" t="s">
        <v>1</v>
      </c>
      <c r="C5">
        <v>3</v>
      </c>
      <c r="D5">
        <v>18</v>
      </c>
      <c r="E5" t="s">
        <v>90</v>
      </c>
      <c r="F5">
        <v>2014</v>
      </c>
      <c r="H5">
        <v>505358</v>
      </c>
      <c r="I5">
        <v>300706</v>
      </c>
      <c r="J5">
        <v>214828</v>
      </c>
      <c r="K5">
        <v>39308</v>
      </c>
      <c r="L5">
        <v>11328</v>
      </c>
      <c r="M5">
        <v>8034</v>
      </c>
      <c r="N5">
        <v>6713</v>
      </c>
      <c r="O5">
        <v>5734</v>
      </c>
      <c r="P5">
        <v>4769</v>
      </c>
      <c r="Q5">
        <v>4728</v>
      </c>
      <c r="R5">
        <v>3943</v>
      </c>
      <c r="S5">
        <v>3851</v>
      </c>
      <c r="T5">
        <v>3772</v>
      </c>
      <c r="U5">
        <v>3075</v>
      </c>
      <c r="V5">
        <v>2757</v>
      </c>
      <c r="W5">
        <v>2445</v>
      </c>
      <c r="X5">
        <v>2062</v>
      </c>
      <c r="Y5">
        <v>1773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1125184</v>
      </c>
    </row>
    <row r="6" spans="1:59" hidden="1" x14ac:dyDescent="0.2">
      <c r="A6" t="s">
        <v>1</v>
      </c>
      <c r="C6">
        <v>4</v>
      </c>
      <c r="D6">
        <v>17</v>
      </c>
      <c r="E6" t="s">
        <v>91</v>
      </c>
      <c r="F6">
        <v>2014</v>
      </c>
      <c r="H6">
        <v>439307</v>
      </c>
      <c r="I6">
        <v>272123</v>
      </c>
      <c r="J6">
        <v>225333</v>
      </c>
      <c r="K6">
        <v>43814</v>
      </c>
      <c r="L6">
        <v>8129</v>
      </c>
      <c r="M6">
        <v>7421</v>
      </c>
      <c r="N6">
        <v>7266</v>
      </c>
      <c r="O6">
        <v>4791</v>
      </c>
      <c r="P6">
        <v>3990</v>
      </c>
      <c r="Q6">
        <v>3651</v>
      </c>
      <c r="R6">
        <v>3529</v>
      </c>
      <c r="S6">
        <v>3091</v>
      </c>
      <c r="T6">
        <v>2817</v>
      </c>
      <c r="U6">
        <v>2621</v>
      </c>
      <c r="V6">
        <v>2462</v>
      </c>
      <c r="W6">
        <v>1978</v>
      </c>
      <c r="X6">
        <v>1601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1033924</v>
      </c>
    </row>
    <row r="7" spans="1:59" hidden="1" x14ac:dyDescent="0.2">
      <c r="A7" t="s">
        <v>1</v>
      </c>
      <c r="C7">
        <v>5</v>
      </c>
      <c r="D7">
        <v>11</v>
      </c>
      <c r="E7" t="s">
        <v>92</v>
      </c>
      <c r="F7">
        <v>2014</v>
      </c>
      <c r="H7">
        <v>508661</v>
      </c>
      <c r="I7">
        <v>364030</v>
      </c>
      <c r="J7">
        <v>157497</v>
      </c>
      <c r="K7">
        <v>18027</v>
      </c>
      <c r="L7">
        <v>12383</v>
      </c>
      <c r="M7">
        <v>11190</v>
      </c>
      <c r="N7">
        <v>8180</v>
      </c>
      <c r="O7">
        <v>4804</v>
      </c>
      <c r="P7">
        <v>4426</v>
      </c>
      <c r="Q7">
        <v>3285</v>
      </c>
      <c r="R7">
        <v>2323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1094806</v>
      </c>
    </row>
    <row r="8" spans="1:59" hidden="1" x14ac:dyDescent="0.2">
      <c r="A8" t="s">
        <v>1</v>
      </c>
      <c r="C8">
        <v>6</v>
      </c>
      <c r="D8">
        <v>14</v>
      </c>
      <c r="E8" t="s">
        <v>93</v>
      </c>
      <c r="F8">
        <v>2014</v>
      </c>
      <c r="H8">
        <v>657492</v>
      </c>
      <c r="I8">
        <v>260463</v>
      </c>
      <c r="J8">
        <v>181804</v>
      </c>
      <c r="K8">
        <v>33507</v>
      </c>
      <c r="L8">
        <v>11752</v>
      </c>
      <c r="M8">
        <v>10696</v>
      </c>
      <c r="N8">
        <v>7599</v>
      </c>
      <c r="O8">
        <v>6643</v>
      </c>
      <c r="P8">
        <v>5010</v>
      </c>
      <c r="Q8">
        <v>4441</v>
      </c>
      <c r="R8">
        <v>3297</v>
      </c>
      <c r="S8">
        <v>3281</v>
      </c>
      <c r="T8">
        <v>2973</v>
      </c>
      <c r="U8">
        <v>2053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1191011</v>
      </c>
    </row>
    <row r="9" spans="1:59" hidden="1" x14ac:dyDescent="0.2">
      <c r="A9" t="s">
        <v>1</v>
      </c>
      <c r="C9">
        <v>7</v>
      </c>
      <c r="D9">
        <v>31</v>
      </c>
      <c r="E9" t="s">
        <v>94</v>
      </c>
      <c r="F9">
        <v>2014</v>
      </c>
      <c r="H9">
        <v>523356</v>
      </c>
      <c r="I9">
        <v>495190</v>
      </c>
      <c r="J9">
        <v>233530</v>
      </c>
      <c r="K9">
        <v>158248</v>
      </c>
      <c r="L9">
        <v>115221</v>
      </c>
      <c r="M9">
        <v>18544</v>
      </c>
      <c r="N9">
        <v>13239</v>
      </c>
      <c r="O9">
        <v>8692</v>
      </c>
      <c r="P9">
        <v>8301</v>
      </c>
      <c r="Q9">
        <v>7953</v>
      </c>
      <c r="R9">
        <v>6133</v>
      </c>
      <c r="S9">
        <v>5717</v>
      </c>
      <c r="T9">
        <v>4095</v>
      </c>
      <c r="U9">
        <v>2677</v>
      </c>
      <c r="V9">
        <v>2261</v>
      </c>
      <c r="W9">
        <v>2049</v>
      </c>
      <c r="X9">
        <v>1693</v>
      </c>
      <c r="Y9">
        <v>1547</v>
      </c>
      <c r="Z9">
        <v>1416</v>
      </c>
      <c r="AA9">
        <v>1390</v>
      </c>
      <c r="AB9">
        <v>1325</v>
      </c>
      <c r="AC9">
        <v>1301</v>
      </c>
      <c r="AD9">
        <v>1032</v>
      </c>
      <c r="AE9">
        <v>1026</v>
      </c>
      <c r="AF9">
        <v>899</v>
      </c>
      <c r="AG9">
        <v>802</v>
      </c>
      <c r="AH9">
        <v>775</v>
      </c>
      <c r="AI9">
        <v>596</v>
      </c>
      <c r="AJ9">
        <v>529</v>
      </c>
      <c r="AK9">
        <v>496</v>
      </c>
      <c r="AL9">
        <v>411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1620444</v>
      </c>
    </row>
    <row r="10" spans="1:59" hidden="1" x14ac:dyDescent="0.2">
      <c r="A10" t="s">
        <v>1</v>
      </c>
      <c r="C10">
        <v>8</v>
      </c>
      <c r="D10">
        <v>31</v>
      </c>
      <c r="E10" t="s">
        <v>95</v>
      </c>
      <c r="F10">
        <v>2014</v>
      </c>
      <c r="H10">
        <v>438271</v>
      </c>
      <c r="I10">
        <v>183536</v>
      </c>
      <c r="J10">
        <v>145120</v>
      </c>
      <c r="K10">
        <v>143847</v>
      </c>
      <c r="L10">
        <v>45187</v>
      </c>
      <c r="M10">
        <v>11184</v>
      </c>
      <c r="N10">
        <v>6572</v>
      </c>
      <c r="O10">
        <v>3691</v>
      </c>
      <c r="P10">
        <v>2863</v>
      </c>
      <c r="Q10">
        <v>2603</v>
      </c>
      <c r="R10">
        <v>2481</v>
      </c>
      <c r="S10">
        <v>2311</v>
      </c>
      <c r="T10">
        <v>2058</v>
      </c>
      <c r="U10">
        <v>1813</v>
      </c>
      <c r="V10">
        <v>1496</v>
      </c>
      <c r="W10">
        <v>1144</v>
      </c>
      <c r="X10">
        <v>959</v>
      </c>
      <c r="Y10">
        <v>928</v>
      </c>
      <c r="Z10">
        <v>886</v>
      </c>
      <c r="AA10">
        <v>873</v>
      </c>
      <c r="AB10">
        <v>809</v>
      </c>
      <c r="AC10">
        <v>786</v>
      </c>
      <c r="AD10">
        <v>779</v>
      </c>
      <c r="AE10">
        <v>638</v>
      </c>
      <c r="AF10">
        <v>554</v>
      </c>
      <c r="AG10">
        <v>547</v>
      </c>
      <c r="AH10">
        <v>474</v>
      </c>
      <c r="AI10">
        <v>376</v>
      </c>
      <c r="AJ10">
        <v>370</v>
      </c>
      <c r="AK10">
        <v>322</v>
      </c>
      <c r="AL10">
        <v>291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1003769</v>
      </c>
    </row>
    <row r="11" spans="1:59" hidden="1" x14ac:dyDescent="0.2">
      <c r="A11" t="s">
        <v>1</v>
      </c>
      <c r="C11">
        <v>9</v>
      </c>
      <c r="D11">
        <v>17</v>
      </c>
      <c r="E11" t="s">
        <v>96</v>
      </c>
      <c r="F11">
        <v>2014</v>
      </c>
      <c r="H11">
        <v>513868</v>
      </c>
      <c r="I11">
        <v>311414</v>
      </c>
      <c r="J11">
        <v>49310</v>
      </c>
      <c r="K11">
        <v>37195</v>
      </c>
      <c r="L11">
        <v>21796</v>
      </c>
      <c r="M11">
        <v>10743</v>
      </c>
      <c r="N11">
        <v>6118</v>
      </c>
      <c r="O11">
        <v>5992</v>
      </c>
      <c r="P11">
        <v>5013</v>
      </c>
      <c r="Q11">
        <v>3100</v>
      </c>
      <c r="R11">
        <v>2102</v>
      </c>
      <c r="S11">
        <v>1593</v>
      </c>
      <c r="T11">
        <v>740</v>
      </c>
      <c r="U11">
        <v>728</v>
      </c>
      <c r="V11">
        <v>626</v>
      </c>
      <c r="W11">
        <v>598</v>
      </c>
      <c r="X11">
        <v>485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971421</v>
      </c>
    </row>
    <row r="12" spans="1:59" hidden="1" x14ac:dyDescent="0.2">
      <c r="A12" t="s">
        <v>1</v>
      </c>
      <c r="C12">
        <v>10</v>
      </c>
      <c r="D12">
        <v>16</v>
      </c>
      <c r="E12" t="s">
        <v>97</v>
      </c>
      <c r="F12">
        <v>2014</v>
      </c>
      <c r="H12">
        <v>435077</v>
      </c>
      <c r="I12">
        <v>362054</v>
      </c>
      <c r="J12">
        <v>353203</v>
      </c>
      <c r="K12">
        <v>56835</v>
      </c>
      <c r="L12">
        <v>40135</v>
      </c>
      <c r="M12">
        <v>24660</v>
      </c>
      <c r="N12">
        <v>10018</v>
      </c>
      <c r="O12">
        <v>7732</v>
      </c>
      <c r="P12">
        <v>7462</v>
      </c>
      <c r="Q12">
        <v>5789</v>
      </c>
      <c r="R12">
        <v>2904</v>
      </c>
      <c r="S12">
        <v>2545</v>
      </c>
      <c r="T12">
        <v>2214</v>
      </c>
      <c r="U12">
        <v>2058</v>
      </c>
      <c r="V12">
        <v>1765</v>
      </c>
      <c r="W12">
        <v>1411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1315862</v>
      </c>
    </row>
    <row r="13" spans="1:59" hidden="1" x14ac:dyDescent="0.2">
      <c r="A13" t="s">
        <v>1</v>
      </c>
      <c r="C13">
        <v>11</v>
      </c>
      <c r="D13">
        <v>10</v>
      </c>
      <c r="E13" t="s">
        <v>98</v>
      </c>
      <c r="F13">
        <v>2014</v>
      </c>
      <c r="H13">
        <v>334228</v>
      </c>
      <c r="I13">
        <v>331638</v>
      </c>
      <c r="J13">
        <v>272791</v>
      </c>
      <c r="K13">
        <v>30388</v>
      </c>
      <c r="L13">
        <v>15779</v>
      </c>
      <c r="M13">
        <v>9105</v>
      </c>
      <c r="N13">
        <v>9037</v>
      </c>
      <c r="O13">
        <v>4549</v>
      </c>
      <c r="P13">
        <v>4033</v>
      </c>
      <c r="Q13">
        <v>3252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1014800</v>
      </c>
    </row>
    <row r="14" spans="1:59" hidden="1" x14ac:dyDescent="0.2">
      <c r="A14" t="s">
        <v>1</v>
      </c>
      <c r="C14">
        <v>12</v>
      </c>
      <c r="D14">
        <v>7</v>
      </c>
      <c r="E14" t="s">
        <v>99</v>
      </c>
      <c r="F14">
        <v>2014</v>
      </c>
      <c r="H14">
        <v>420075</v>
      </c>
      <c r="I14">
        <v>403399</v>
      </c>
      <c r="J14">
        <v>183352</v>
      </c>
      <c r="K14">
        <v>54680</v>
      </c>
      <c r="L14">
        <v>22985</v>
      </c>
      <c r="M14">
        <v>12388</v>
      </c>
      <c r="N14">
        <v>12089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1108968</v>
      </c>
    </row>
    <row r="15" spans="1:59" hidden="1" x14ac:dyDescent="0.2">
      <c r="A15" t="s">
        <v>1</v>
      </c>
      <c r="C15">
        <v>13</v>
      </c>
      <c r="D15">
        <v>10</v>
      </c>
      <c r="E15" t="s">
        <v>100</v>
      </c>
      <c r="F15">
        <v>2014</v>
      </c>
      <c r="H15">
        <v>472093</v>
      </c>
      <c r="I15">
        <v>278937</v>
      </c>
      <c r="J15">
        <v>260677</v>
      </c>
      <c r="K15">
        <v>56259</v>
      </c>
      <c r="L15">
        <v>54423</v>
      </c>
      <c r="M15">
        <v>39385</v>
      </c>
      <c r="N15">
        <v>11517</v>
      </c>
      <c r="O15">
        <v>9305</v>
      </c>
      <c r="P15">
        <v>4495</v>
      </c>
      <c r="Q15">
        <v>2308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1189399</v>
      </c>
    </row>
    <row r="16" spans="1:59" hidden="1" x14ac:dyDescent="0.2">
      <c r="A16" t="s">
        <v>1</v>
      </c>
      <c r="C16">
        <v>14</v>
      </c>
      <c r="D16">
        <v>14</v>
      </c>
      <c r="E16" t="s">
        <v>101</v>
      </c>
      <c r="F16">
        <v>2014</v>
      </c>
      <c r="H16">
        <v>448164</v>
      </c>
      <c r="I16">
        <v>417620</v>
      </c>
      <c r="J16">
        <v>183249</v>
      </c>
      <c r="K16">
        <v>54035</v>
      </c>
      <c r="L16">
        <v>35004</v>
      </c>
      <c r="M16">
        <v>26805</v>
      </c>
      <c r="N16">
        <v>10907</v>
      </c>
      <c r="O16">
        <v>9029</v>
      </c>
      <c r="P16">
        <v>7721</v>
      </c>
      <c r="Q16">
        <v>6847</v>
      </c>
      <c r="R16">
        <v>5551</v>
      </c>
      <c r="S16">
        <v>2600</v>
      </c>
      <c r="T16">
        <v>2342</v>
      </c>
      <c r="U16">
        <v>1858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1211732</v>
      </c>
    </row>
    <row r="17" spans="1:51" hidden="1" x14ac:dyDescent="0.2">
      <c r="A17" t="s">
        <v>1</v>
      </c>
      <c r="C17">
        <v>15</v>
      </c>
      <c r="D17">
        <v>13</v>
      </c>
      <c r="E17" t="s">
        <v>102</v>
      </c>
      <c r="F17">
        <v>2014</v>
      </c>
      <c r="H17">
        <v>661639</v>
      </c>
      <c r="I17">
        <v>269065</v>
      </c>
      <c r="J17">
        <v>187139</v>
      </c>
      <c r="K17">
        <v>14034</v>
      </c>
      <c r="L17">
        <v>9536</v>
      </c>
      <c r="M17">
        <v>9178</v>
      </c>
      <c r="N17">
        <v>7350</v>
      </c>
      <c r="O17">
        <v>5569</v>
      </c>
      <c r="P17">
        <v>3211</v>
      </c>
      <c r="Q17">
        <v>2258</v>
      </c>
      <c r="R17">
        <v>2098</v>
      </c>
      <c r="S17">
        <v>2013</v>
      </c>
      <c r="T17">
        <v>1541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1174631</v>
      </c>
    </row>
    <row r="18" spans="1:51" hidden="1" x14ac:dyDescent="0.2">
      <c r="A18" t="s">
        <v>1</v>
      </c>
      <c r="C18">
        <v>16</v>
      </c>
      <c r="D18">
        <v>18</v>
      </c>
      <c r="E18" t="s">
        <v>103</v>
      </c>
      <c r="F18">
        <v>2014</v>
      </c>
      <c r="H18">
        <v>320569</v>
      </c>
      <c r="I18">
        <v>285577</v>
      </c>
      <c r="J18">
        <v>215904</v>
      </c>
      <c r="K18">
        <v>128472</v>
      </c>
      <c r="L18">
        <v>94044</v>
      </c>
      <c r="M18">
        <v>14034</v>
      </c>
      <c r="N18">
        <v>13663</v>
      </c>
      <c r="O18">
        <v>6853</v>
      </c>
      <c r="P18">
        <v>6704</v>
      </c>
      <c r="Q18">
        <v>6637</v>
      </c>
      <c r="R18">
        <v>6224</v>
      </c>
      <c r="S18">
        <v>5879</v>
      </c>
      <c r="T18">
        <v>3925</v>
      </c>
      <c r="U18">
        <v>3662</v>
      </c>
      <c r="V18">
        <v>3498</v>
      </c>
      <c r="W18">
        <v>3443</v>
      </c>
      <c r="X18">
        <v>3091</v>
      </c>
      <c r="Y18">
        <v>2193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1124372</v>
      </c>
    </row>
    <row r="19" spans="1:51" hidden="1" x14ac:dyDescent="0.2">
      <c r="A19" t="s">
        <v>1</v>
      </c>
      <c r="C19">
        <v>17</v>
      </c>
      <c r="D19">
        <v>28</v>
      </c>
      <c r="E19" t="s">
        <v>104</v>
      </c>
      <c r="F19">
        <v>2014</v>
      </c>
      <c r="H19">
        <v>422434</v>
      </c>
      <c r="I19">
        <v>410230</v>
      </c>
      <c r="J19">
        <v>187702</v>
      </c>
      <c r="K19">
        <v>89124</v>
      </c>
      <c r="L19">
        <v>9460</v>
      </c>
      <c r="M19">
        <v>8055</v>
      </c>
      <c r="N19">
        <v>6506</v>
      </c>
      <c r="O19">
        <v>5401</v>
      </c>
      <c r="P19">
        <v>5368</v>
      </c>
      <c r="Q19">
        <v>5002</v>
      </c>
      <c r="R19">
        <v>4991</v>
      </c>
      <c r="S19">
        <v>4761</v>
      </c>
      <c r="T19">
        <v>4484</v>
      </c>
      <c r="U19">
        <v>4139</v>
      </c>
      <c r="V19">
        <v>1617</v>
      </c>
      <c r="W19">
        <v>1491</v>
      </c>
      <c r="X19">
        <v>1434</v>
      </c>
      <c r="Y19">
        <v>1342</v>
      </c>
      <c r="Z19">
        <v>1274</v>
      </c>
      <c r="AA19">
        <v>1202</v>
      </c>
      <c r="AB19">
        <v>1116</v>
      </c>
      <c r="AC19">
        <v>1063</v>
      </c>
      <c r="AD19">
        <v>1021</v>
      </c>
      <c r="AE19">
        <v>983</v>
      </c>
      <c r="AF19">
        <v>964</v>
      </c>
      <c r="AG19">
        <v>917</v>
      </c>
      <c r="AH19">
        <v>889</v>
      </c>
      <c r="AI19">
        <v>879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1183849</v>
      </c>
    </row>
    <row r="20" spans="1:51" hidden="1" x14ac:dyDescent="0.2">
      <c r="A20" t="s">
        <v>1</v>
      </c>
      <c r="C20">
        <v>18</v>
      </c>
      <c r="D20">
        <v>12</v>
      </c>
      <c r="E20" t="s">
        <v>105</v>
      </c>
      <c r="F20">
        <v>2014</v>
      </c>
      <c r="H20">
        <v>413191</v>
      </c>
      <c r="I20">
        <v>321793</v>
      </c>
      <c r="J20">
        <v>52884</v>
      </c>
      <c r="K20">
        <v>38898</v>
      </c>
      <c r="L20">
        <v>23215</v>
      </c>
      <c r="M20">
        <v>16532</v>
      </c>
      <c r="N20">
        <v>8951</v>
      </c>
      <c r="O20">
        <v>8569</v>
      </c>
      <c r="P20">
        <v>7688</v>
      </c>
      <c r="Q20">
        <v>7587</v>
      </c>
      <c r="R20">
        <v>5692</v>
      </c>
      <c r="S20">
        <v>4614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909614</v>
      </c>
    </row>
    <row r="21" spans="1:51" hidden="1" x14ac:dyDescent="0.2">
      <c r="A21" t="s">
        <v>1</v>
      </c>
      <c r="C21">
        <v>19</v>
      </c>
      <c r="D21">
        <v>11</v>
      </c>
      <c r="E21" t="s">
        <v>106</v>
      </c>
      <c r="F21">
        <v>2014</v>
      </c>
      <c r="H21">
        <v>556545</v>
      </c>
      <c r="I21">
        <v>428853</v>
      </c>
      <c r="J21">
        <v>24171</v>
      </c>
      <c r="K21">
        <v>11423</v>
      </c>
      <c r="L21">
        <v>8049</v>
      </c>
      <c r="M21">
        <v>6138</v>
      </c>
      <c r="N21">
        <v>5132</v>
      </c>
      <c r="O21">
        <v>5026</v>
      </c>
      <c r="P21">
        <v>2559</v>
      </c>
      <c r="Q21">
        <v>2144</v>
      </c>
      <c r="R21">
        <v>2075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1052115</v>
      </c>
    </row>
    <row r="22" spans="1:51" hidden="1" x14ac:dyDescent="0.2">
      <c r="A22" t="s">
        <v>1</v>
      </c>
      <c r="C22">
        <v>20</v>
      </c>
      <c r="D22">
        <v>10</v>
      </c>
      <c r="E22" t="s">
        <v>107</v>
      </c>
      <c r="F22">
        <v>2014</v>
      </c>
      <c r="H22">
        <v>536549</v>
      </c>
      <c r="I22">
        <v>429638</v>
      </c>
      <c r="J22">
        <v>122487</v>
      </c>
      <c r="K22">
        <v>6528</v>
      </c>
      <c r="L22">
        <v>6401</v>
      </c>
      <c r="M22">
        <v>5125</v>
      </c>
      <c r="N22">
        <v>4092</v>
      </c>
      <c r="O22">
        <v>3603</v>
      </c>
      <c r="P22">
        <v>3388</v>
      </c>
      <c r="Q22">
        <v>2505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1120316</v>
      </c>
    </row>
    <row r="23" spans="1:51" hidden="1" x14ac:dyDescent="0.2">
      <c r="A23" t="s">
        <v>1</v>
      </c>
      <c r="C23">
        <v>21</v>
      </c>
      <c r="D23">
        <v>23</v>
      </c>
      <c r="E23" t="s">
        <v>108</v>
      </c>
      <c r="F23">
        <v>2014</v>
      </c>
      <c r="H23">
        <v>566832</v>
      </c>
      <c r="I23">
        <v>476344</v>
      </c>
      <c r="J23">
        <v>50632</v>
      </c>
      <c r="K23">
        <v>14947</v>
      </c>
      <c r="L23">
        <v>7329</v>
      </c>
      <c r="M23">
        <v>6644</v>
      </c>
      <c r="N23">
        <v>6175</v>
      </c>
      <c r="O23">
        <v>5418</v>
      </c>
      <c r="P23">
        <v>4323</v>
      </c>
      <c r="Q23">
        <v>2717</v>
      </c>
      <c r="R23">
        <v>2611</v>
      </c>
      <c r="S23">
        <v>2377</v>
      </c>
      <c r="T23">
        <v>1927</v>
      </c>
      <c r="U23">
        <v>1910</v>
      </c>
      <c r="V23">
        <v>1889</v>
      </c>
      <c r="W23">
        <v>1759</v>
      </c>
      <c r="X23">
        <v>1751</v>
      </c>
      <c r="Y23">
        <v>1594</v>
      </c>
      <c r="Z23">
        <v>1540</v>
      </c>
      <c r="AA23">
        <v>1379</v>
      </c>
      <c r="AB23">
        <v>1348</v>
      </c>
      <c r="AC23">
        <v>1118</v>
      </c>
      <c r="AD23">
        <v>994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1163558</v>
      </c>
    </row>
    <row r="24" spans="1:51" hidden="1" x14ac:dyDescent="0.2">
      <c r="A24" t="s">
        <v>1</v>
      </c>
      <c r="C24">
        <v>22</v>
      </c>
      <c r="D24">
        <v>9</v>
      </c>
      <c r="E24" t="s">
        <v>109</v>
      </c>
      <c r="F24">
        <v>2014</v>
      </c>
      <c r="H24">
        <v>568463</v>
      </c>
      <c r="I24">
        <v>520531</v>
      </c>
      <c r="J24">
        <v>17770</v>
      </c>
      <c r="K24">
        <v>14834</v>
      </c>
      <c r="L24">
        <v>8604</v>
      </c>
      <c r="M24">
        <v>6261</v>
      </c>
      <c r="N24">
        <v>5506</v>
      </c>
      <c r="O24">
        <v>3228</v>
      </c>
      <c r="P24">
        <v>2875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1148072</v>
      </c>
    </row>
    <row r="25" spans="1:51" hidden="1" x14ac:dyDescent="0.2">
      <c r="A25" t="s">
        <v>1</v>
      </c>
      <c r="C25">
        <v>23</v>
      </c>
      <c r="D25">
        <v>23</v>
      </c>
      <c r="E25" t="s">
        <v>110</v>
      </c>
      <c r="F25">
        <v>2014</v>
      </c>
      <c r="H25">
        <v>514402</v>
      </c>
      <c r="I25">
        <v>510971</v>
      </c>
      <c r="J25">
        <v>19754</v>
      </c>
      <c r="K25">
        <v>6836</v>
      </c>
      <c r="L25">
        <v>6636</v>
      </c>
      <c r="M25">
        <v>6442</v>
      </c>
      <c r="N25">
        <v>4358</v>
      </c>
      <c r="O25">
        <v>3826</v>
      </c>
      <c r="P25">
        <v>3756</v>
      </c>
      <c r="Q25">
        <v>3473</v>
      </c>
      <c r="R25">
        <v>2511</v>
      </c>
      <c r="S25">
        <v>2356</v>
      </c>
      <c r="T25">
        <v>1907</v>
      </c>
      <c r="U25">
        <v>1837</v>
      </c>
      <c r="V25">
        <v>1697</v>
      </c>
      <c r="W25">
        <v>1495</v>
      </c>
      <c r="X25">
        <v>1417</v>
      </c>
      <c r="Y25">
        <v>1400</v>
      </c>
      <c r="Z25">
        <v>1236</v>
      </c>
      <c r="AA25">
        <v>1161</v>
      </c>
      <c r="AB25">
        <v>1122</v>
      </c>
      <c r="AC25">
        <v>910</v>
      </c>
      <c r="AD25">
        <v>496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1099999</v>
      </c>
    </row>
    <row r="26" spans="1:51" hidden="1" x14ac:dyDescent="0.2">
      <c r="A26" t="s">
        <v>1</v>
      </c>
      <c r="C26">
        <v>24</v>
      </c>
      <c r="D26">
        <v>15</v>
      </c>
      <c r="E26" t="s">
        <v>111</v>
      </c>
      <c r="F26">
        <v>2014</v>
      </c>
      <c r="H26">
        <v>594547</v>
      </c>
      <c r="I26">
        <v>473971</v>
      </c>
      <c r="J26">
        <v>12182</v>
      </c>
      <c r="K26">
        <v>9931</v>
      </c>
      <c r="L26">
        <v>7219</v>
      </c>
      <c r="M26">
        <v>6141</v>
      </c>
      <c r="N26">
        <v>4560</v>
      </c>
      <c r="O26">
        <v>3233</v>
      </c>
      <c r="P26">
        <v>2867</v>
      </c>
      <c r="Q26">
        <v>1684</v>
      </c>
      <c r="R26">
        <v>1171</v>
      </c>
      <c r="S26">
        <v>1110</v>
      </c>
      <c r="T26">
        <v>862</v>
      </c>
      <c r="U26">
        <v>824</v>
      </c>
      <c r="V26">
        <v>625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1120927</v>
      </c>
    </row>
    <row r="27" spans="1:51" hidden="1" x14ac:dyDescent="0.2">
      <c r="A27" t="s">
        <v>1</v>
      </c>
      <c r="C27">
        <v>25</v>
      </c>
      <c r="D27">
        <v>15</v>
      </c>
      <c r="E27" t="s">
        <v>112</v>
      </c>
      <c r="F27">
        <v>2014</v>
      </c>
      <c r="H27">
        <v>630573</v>
      </c>
      <c r="I27">
        <v>463139</v>
      </c>
      <c r="J27">
        <v>21243</v>
      </c>
      <c r="K27">
        <v>11718</v>
      </c>
      <c r="L27">
        <v>7456</v>
      </c>
      <c r="M27">
        <v>6079</v>
      </c>
      <c r="N27">
        <v>5481</v>
      </c>
      <c r="O27">
        <v>1390</v>
      </c>
      <c r="P27">
        <v>1356</v>
      </c>
      <c r="Q27">
        <v>1329</v>
      </c>
      <c r="R27">
        <v>1282</v>
      </c>
      <c r="S27">
        <v>991</v>
      </c>
      <c r="T27">
        <v>989</v>
      </c>
      <c r="U27">
        <v>765</v>
      </c>
      <c r="V27">
        <v>590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1154381</v>
      </c>
    </row>
    <row r="28" spans="1:51" hidden="1" x14ac:dyDescent="0.2">
      <c r="A28" t="s">
        <v>1</v>
      </c>
      <c r="C28">
        <v>26</v>
      </c>
      <c r="D28">
        <v>15</v>
      </c>
      <c r="E28" t="s">
        <v>113</v>
      </c>
      <c r="F28">
        <v>2014</v>
      </c>
      <c r="H28">
        <v>540306</v>
      </c>
      <c r="I28">
        <v>454955</v>
      </c>
      <c r="J28">
        <v>27083</v>
      </c>
      <c r="K28">
        <v>23260</v>
      </c>
      <c r="L28">
        <v>8491</v>
      </c>
      <c r="M28">
        <v>8004</v>
      </c>
      <c r="N28">
        <v>6838</v>
      </c>
      <c r="O28">
        <v>6708</v>
      </c>
      <c r="P28">
        <v>4232</v>
      </c>
      <c r="Q28">
        <v>2286</v>
      </c>
      <c r="R28">
        <v>1605</v>
      </c>
      <c r="S28">
        <v>1350</v>
      </c>
      <c r="T28">
        <v>1298</v>
      </c>
      <c r="U28">
        <v>1281</v>
      </c>
      <c r="V28">
        <v>1250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1088947</v>
      </c>
    </row>
    <row r="29" spans="1:51" hidden="1" x14ac:dyDescent="0.2">
      <c r="A29" t="s">
        <v>1</v>
      </c>
      <c r="C29">
        <v>27</v>
      </c>
      <c r="D29">
        <v>16</v>
      </c>
      <c r="E29" t="s">
        <v>114</v>
      </c>
      <c r="F29">
        <v>2014</v>
      </c>
      <c r="H29">
        <v>623471</v>
      </c>
      <c r="I29">
        <v>521545</v>
      </c>
      <c r="J29">
        <v>11770</v>
      </c>
      <c r="K29">
        <v>11670</v>
      </c>
      <c r="L29">
        <v>7544</v>
      </c>
      <c r="M29">
        <v>4483</v>
      </c>
      <c r="N29">
        <v>3971</v>
      </c>
      <c r="O29">
        <v>3423</v>
      </c>
      <c r="P29">
        <v>2873</v>
      </c>
      <c r="Q29">
        <v>2721</v>
      </c>
      <c r="R29">
        <v>2318</v>
      </c>
      <c r="S29">
        <v>1323</v>
      </c>
      <c r="T29">
        <v>1320</v>
      </c>
      <c r="U29">
        <v>1302</v>
      </c>
      <c r="V29">
        <v>1212</v>
      </c>
      <c r="W29">
        <v>751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1201697</v>
      </c>
    </row>
    <row r="30" spans="1:51" hidden="1" x14ac:dyDescent="0.2">
      <c r="A30" t="s">
        <v>1</v>
      </c>
      <c r="C30">
        <v>28</v>
      </c>
      <c r="D30">
        <v>12</v>
      </c>
      <c r="E30" t="s">
        <v>115</v>
      </c>
      <c r="F30">
        <v>2014</v>
      </c>
      <c r="H30">
        <v>587280</v>
      </c>
      <c r="I30">
        <v>506223</v>
      </c>
      <c r="J30">
        <v>14111</v>
      </c>
      <c r="K30">
        <v>8171</v>
      </c>
      <c r="L30">
        <v>7692</v>
      </c>
      <c r="M30">
        <v>4401</v>
      </c>
      <c r="N30">
        <v>4085</v>
      </c>
      <c r="O30">
        <v>3399</v>
      </c>
      <c r="P30">
        <v>1770</v>
      </c>
      <c r="Q30">
        <v>1597</v>
      </c>
      <c r="R30">
        <v>1405</v>
      </c>
      <c r="S30">
        <v>931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1141065</v>
      </c>
    </row>
    <row r="31" spans="1:51" hidden="1" x14ac:dyDescent="0.2">
      <c r="A31" t="s">
        <v>1</v>
      </c>
      <c r="C31">
        <v>29</v>
      </c>
      <c r="D31">
        <v>23</v>
      </c>
      <c r="E31" t="s">
        <v>116</v>
      </c>
      <c r="F31">
        <v>2014</v>
      </c>
      <c r="H31">
        <v>592953</v>
      </c>
      <c r="I31">
        <v>518239</v>
      </c>
      <c r="J31">
        <v>39760</v>
      </c>
      <c r="K31">
        <v>7539</v>
      </c>
      <c r="L31">
        <v>5296</v>
      </c>
      <c r="M31">
        <v>5294</v>
      </c>
      <c r="N31">
        <v>3582</v>
      </c>
      <c r="O31">
        <v>3088</v>
      </c>
      <c r="P31">
        <v>2809</v>
      </c>
      <c r="Q31">
        <v>2571</v>
      </c>
      <c r="R31">
        <v>2460</v>
      </c>
      <c r="S31">
        <v>1874</v>
      </c>
      <c r="T31">
        <v>1521</v>
      </c>
      <c r="U31">
        <v>1402</v>
      </c>
      <c r="V31">
        <v>1168</v>
      </c>
      <c r="W31">
        <v>1099</v>
      </c>
      <c r="X31">
        <v>1014</v>
      </c>
      <c r="Y31">
        <v>950</v>
      </c>
      <c r="Z31">
        <v>803</v>
      </c>
      <c r="AA31">
        <v>749</v>
      </c>
      <c r="AB31">
        <v>667</v>
      </c>
      <c r="AC31">
        <v>504</v>
      </c>
      <c r="AD31">
        <v>423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1195765</v>
      </c>
    </row>
    <row r="32" spans="1:51" hidden="1" x14ac:dyDescent="0.2">
      <c r="A32" t="s">
        <v>1</v>
      </c>
      <c r="C32">
        <v>30</v>
      </c>
      <c r="D32">
        <v>13</v>
      </c>
      <c r="E32" t="s">
        <v>117</v>
      </c>
      <c r="F32">
        <v>2014</v>
      </c>
      <c r="H32">
        <v>618417</v>
      </c>
      <c r="I32">
        <v>549306</v>
      </c>
      <c r="J32">
        <v>46818</v>
      </c>
      <c r="K32">
        <v>7596</v>
      </c>
      <c r="L32">
        <v>5608</v>
      </c>
      <c r="M32">
        <v>4223</v>
      </c>
      <c r="N32">
        <v>2852</v>
      </c>
      <c r="O32">
        <v>2594</v>
      </c>
      <c r="P32">
        <v>2344</v>
      </c>
      <c r="Q32">
        <v>1636</v>
      </c>
      <c r="R32">
        <v>1455</v>
      </c>
      <c r="S32">
        <v>1169</v>
      </c>
      <c r="T32">
        <v>908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1244926</v>
      </c>
    </row>
    <row r="33" spans="1:51" hidden="1" x14ac:dyDescent="0.2">
      <c r="A33" t="s">
        <v>1</v>
      </c>
      <c r="C33">
        <v>31</v>
      </c>
      <c r="D33">
        <v>12</v>
      </c>
      <c r="E33" t="s">
        <v>118</v>
      </c>
      <c r="F33">
        <v>2014</v>
      </c>
      <c r="H33">
        <v>632464</v>
      </c>
      <c r="I33">
        <v>597184</v>
      </c>
      <c r="J33">
        <v>22943</v>
      </c>
      <c r="K33">
        <v>7032</v>
      </c>
      <c r="L33">
        <v>5985</v>
      </c>
      <c r="M33">
        <v>5142</v>
      </c>
      <c r="N33">
        <v>4911</v>
      </c>
      <c r="O33">
        <v>1877</v>
      </c>
      <c r="P33">
        <v>1404</v>
      </c>
      <c r="Q33">
        <v>1118</v>
      </c>
      <c r="R33">
        <v>1025</v>
      </c>
      <c r="S33">
        <v>973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1282058</v>
      </c>
    </row>
    <row r="34" spans="1:51" hidden="1" x14ac:dyDescent="0.2">
      <c r="A34" t="s">
        <v>1</v>
      </c>
      <c r="C34">
        <v>32</v>
      </c>
      <c r="D34">
        <v>15</v>
      </c>
      <c r="E34" t="s">
        <v>119</v>
      </c>
      <c r="F34">
        <v>2014</v>
      </c>
      <c r="H34">
        <v>578145</v>
      </c>
      <c r="I34">
        <v>545391</v>
      </c>
      <c r="J34">
        <v>23072</v>
      </c>
      <c r="K34">
        <v>8414</v>
      </c>
      <c r="L34">
        <v>8113</v>
      </c>
      <c r="M34">
        <v>6146</v>
      </c>
      <c r="N34">
        <v>3948</v>
      </c>
      <c r="O34">
        <v>3657</v>
      </c>
      <c r="P34">
        <v>2967</v>
      </c>
      <c r="Q34">
        <v>1206</v>
      </c>
      <c r="R34">
        <v>823</v>
      </c>
      <c r="S34">
        <v>749</v>
      </c>
      <c r="T34">
        <v>720</v>
      </c>
      <c r="U34">
        <v>668</v>
      </c>
      <c r="V34">
        <v>615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1184634</v>
      </c>
    </row>
    <row r="35" spans="1:51" hidden="1" x14ac:dyDescent="0.2">
      <c r="A35" t="s">
        <v>1</v>
      </c>
      <c r="C35">
        <v>33</v>
      </c>
      <c r="D35">
        <v>16</v>
      </c>
      <c r="E35" t="s">
        <v>120</v>
      </c>
      <c r="F35">
        <v>2014</v>
      </c>
      <c r="H35">
        <v>589861</v>
      </c>
      <c r="I35">
        <v>574302</v>
      </c>
      <c r="J35">
        <v>13356</v>
      </c>
      <c r="K35">
        <v>5864</v>
      </c>
      <c r="L35">
        <v>5781</v>
      </c>
      <c r="M35">
        <v>4393</v>
      </c>
      <c r="N35">
        <v>3724</v>
      </c>
      <c r="O35">
        <v>3207</v>
      </c>
      <c r="P35">
        <v>1936</v>
      </c>
      <c r="Q35">
        <v>1392</v>
      </c>
      <c r="R35">
        <v>999</v>
      </c>
      <c r="S35">
        <v>879</v>
      </c>
      <c r="T35">
        <v>756</v>
      </c>
      <c r="U35">
        <v>658</v>
      </c>
      <c r="V35">
        <v>625</v>
      </c>
      <c r="W35">
        <v>492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1208225</v>
      </c>
    </row>
    <row r="36" spans="1:51" hidden="1" x14ac:dyDescent="0.2">
      <c r="A36" t="s">
        <v>1</v>
      </c>
      <c r="C36">
        <v>34</v>
      </c>
      <c r="D36">
        <v>15</v>
      </c>
      <c r="E36" t="s">
        <v>121</v>
      </c>
      <c r="F36">
        <v>2014</v>
      </c>
      <c r="H36">
        <v>622411</v>
      </c>
      <c r="I36">
        <v>516645</v>
      </c>
      <c r="J36">
        <v>16378</v>
      </c>
      <c r="K36">
        <v>11784</v>
      </c>
      <c r="L36">
        <v>7189</v>
      </c>
      <c r="M36">
        <v>7115</v>
      </c>
      <c r="N36">
        <v>5598</v>
      </c>
      <c r="O36">
        <v>5400</v>
      </c>
      <c r="P36">
        <v>2708</v>
      </c>
      <c r="Q36">
        <v>2499</v>
      </c>
      <c r="R36">
        <v>2437</v>
      </c>
      <c r="S36">
        <v>1495</v>
      </c>
      <c r="T36">
        <v>1325</v>
      </c>
      <c r="U36">
        <v>1036</v>
      </c>
      <c r="V36">
        <v>936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1204956</v>
      </c>
    </row>
    <row r="37" spans="1:51" hidden="1" x14ac:dyDescent="0.2">
      <c r="A37" t="s">
        <v>1</v>
      </c>
      <c r="C37">
        <v>35</v>
      </c>
      <c r="D37">
        <v>13</v>
      </c>
      <c r="E37" t="s">
        <v>122</v>
      </c>
      <c r="F37">
        <v>2014</v>
      </c>
      <c r="H37">
        <v>472782</v>
      </c>
      <c r="I37">
        <v>428651</v>
      </c>
      <c r="J37">
        <v>116603</v>
      </c>
      <c r="K37">
        <v>11393</v>
      </c>
      <c r="L37">
        <v>9385</v>
      </c>
      <c r="M37">
        <v>6522</v>
      </c>
      <c r="N37">
        <v>5746</v>
      </c>
      <c r="O37">
        <v>3600</v>
      </c>
      <c r="P37">
        <v>2820</v>
      </c>
      <c r="Q37">
        <v>2605</v>
      </c>
      <c r="R37">
        <v>2021</v>
      </c>
      <c r="S37">
        <v>1990</v>
      </c>
      <c r="T37">
        <v>1614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1065732</v>
      </c>
    </row>
    <row r="38" spans="1:51" hidden="1" x14ac:dyDescent="0.2">
      <c r="A38" t="s">
        <v>1</v>
      </c>
      <c r="C38">
        <v>36</v>
      </c>
      <c r="D38">
        <v>14</v>
      </c>
      <c r="E38" t="s">
        <v>123</v>
      </c>
      <c r="F38">
        <v>2014</v>
      </c>
      <c r="H38">
        <v>610288</v>
      </c>
      <c r="I38">
        <v>548297</v>
      </c>
      <c r="J38">
        <v>16719</v>
      </c>
      <c r="K38">
        <v>8857</v>
      </c>
      <c r="L38">
        <v>6542</v>
      </c>
      <c r="M38">
        <v>6227</v>
      </c>
      <c r="N38">
        <v>3031</v>
      </c>
      <c r="O38">
        <v>2800</v>
      </c>
      <c r="P38">
        <v>2274</v>
      </c>
      <c r="Q38">
        <v>2076</v>
      </c>
      <c r="R38">
        <v>1599</v>
      </c>
      <c r="S38">
        <v>1388</v>
      </c>
      <c r="T38">
        <v>1095</v>
      </c>
      <c r="U38">
        <v>952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1212145</v>
      </c>
    </row>
    <row r="39" spans="1:51" hidden="1" x14ac:dyDescent="0.2">
      <c r="A39" t="s">
        <v>1</v>
      </c>
      <c r="C39">
        <v>37</v>
      </c>
      <c r="D39">
        <v>13</v>
      </c>
      <c r="E39" t="s">
        <v>124</v>
      </c>
      <c r="F39">
        <v>2014</v>
      </c>
      <c r="H39">
        <v>604291</v>
      </c>
      <c r="I39">
        <v>506966</v>
      </c>
      <c r="J39">
        <v>36452</v>
      </c>
      <c r="K39">
        <v>8189</v>
      </c>
      <c r="L39">
        <v>4590</v>
      </c>
      <c r="M39">
        <v>4521</v>
      </c>
      <c r="N39">
        <v>3101</v>
      </c>
      <c r="O39">
        <v>2332</v>
      </c>
      <c r="P39">
        <v>2032</v>
      </c>
      <c r="Q39">
        <v>1275</v>
      </c>
      <c r="R39">
        <v>1257</v>
      </c>
      <c r="S39">
        <v>1152</v>
      </c>
      <c r="T39">
        <v>1099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1177257</v>
      </c>
    </row>
    <row r="40" spans="1:51" hidden="1" x14ac:dyDescent="0.2">
      <c r="A40" t="s">
        <v>1</v>
      </c>
      <c r="C40">
        <v>38</v>
      </c>
      <c r="D40">
        <v>15</v>
      </c>
      <c r="E40" t="s">
        <v>125</v>
      </c>
      <c r="F40">
        <v>2014</v>
      </c>
      <c r="H40">
        <v>671983</v>
      </c>
      <c r="I40">
        <v>481660</v>
      </c>
      <c r="J40">
        <v>14319</v>
      </c>
      <c r="K40">
        <v>6058</v>
      </c>
      <c r="L40">
        <v>5515</v>
      </c>
      <c r="M40">
        <v>3809</v>
      </c>
      <c r="N40">
        <v>3401</v>
      </c>
      <c r="O40">
        <v>3219</v>
      </c>
      <c r="P40">
        <v>2565</v>
      </c>
      <c r="Q40">
        <v>2240</v>
      </c>
      <c r="R40">
        <v>1821</v>
      </c>
      <c r="S40">
        <v>1217</v>
      </c>
      <c r="T40">
        <v>1034</v>
      </c>
      <c r="U40">
        <v>933</v>
      </c>
      <c r="V40">
        <v>888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1200662</v>
      </c>
    </row>
    <row r="41" spans="1:51" hidden="1" x14ac:dyDescent="0.2">
      <c r="A41" t="s">
        <v>1</v>
      </c>
      <c r="C41">
        <v>39</v>
      </c>
      <c r="D41">
        <v>15</v>
      </c>
      <c r="E41" t="s">
        <v>126</v>
      </c>
      <c r="F41">
        <v>2014</v>
      </c>
      <c r="H41">
        <v>576396</v>
      </c>
      <c r="I41">
        <v>562918</v>
      </c>
      <c r="J41">
        <v>22870</v>
      </c>
      <c r="K41">
        <v>5578</v>
      </c>
      <c r="L41">
        <v>5549</v>
      </c>
      <c r="M41">
        <v>4112</v>
      </c>
      <c r="N41">
        <v>3299</v>
      </c>
      <c r="O41">
        <v>1424</v>
      </c>
      <c r="P41">
        <v>999</v>
      </c>
      <c r="Q41">
        <v>875</v>
      </c>
      <c r="R41">
        <v>820</v>
      </c>
      <c r="S41">
        <v>760</v>
      </c>
      <c r="T41">
        <v>736</v>
      </c>
      <c r="U41">
        <v>686</v>
      </c>
      <c r="V41">
        <v>626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1187648</v>
      </c>
    </row>
    <row r="42" spans="1:51" hidden="1" x14ac:dyDescent="0.2">
      <c r="A42" t="s">
        <v>1</v>
      </c>
      <c r="C42">
        <v>40</v>
      </c>
      <c r="D42">
        <v>15</v>
      </c>
      <c r="E42" t="s">
        <v>127</v>
      </c>
      <c r="F42">
        <v>2014</v>
      </c>
      <c r="H42">
        <v>580376</v>
      </c>
      <c r="I42">
        <v>542951</v>
      </c>
      <c r="J42">
        <v>33333</v>
      </c>
      <c r="K42">
        <v>11168</v>
      </c>
      <c r="L42">
        <v>9815</v>
      </c>
      <c r="M42">
        <v>8690</v>
      </c>
      <c r="N42">
        <v>7280</v>
      </c>
      <c r="O42">
        <v>6036</v>
      </c>
      <c r="P42">
        <v>2875</v>
      </c>
      <c r="Q42">
        <v>2510</v>
      </c>
      <c r="R42">
        <v>1829</v>
      </c>
      <c r="S42">
        <v>1696</v>
      </c>
      <c r="T42">
        <v>1645</v>
      </c>
      <c r="U42">
        <v>1455</v>
      </c>
      <c r="V42">
        <v>1403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1213062</v>
      </c>
    </row>
    <row r="43" spans="1:51" hidden="1" x14ac:dyDescent="0.2">
      <c r="A43" t="s">
        <v>1</v>
      </c>
      <c r="C43">
        <v>41</v>
      </c>
      <c r="D43">
        <v>10</v>
      </c>
      <c r="E43" t="s">
        <v>128</v>
      </c>
      <c r="F43">
        <v>2014</v>
      </c>
      <c r="H43">
        <v>601752</v>
      </c>
      <c r="I43">
        <v>426990</v>
      </c>
      <c r="J43">
        <v>59777</v>
      </c>
      <c r="K43">
        <v>29332</v>
      </c>
      <c r="L43">
        <v>15086</v>
      </c>
      <c r="M43">
        <v>8189</v>
      </c>
      <c r="N43">
        <v>7116</v>
      </c>
      <c r="O43">
        <v>3896</v>
      </c>
      <c r="P43">
        <v>3549</v>
      </c>
      <c r="Q43">
        <v>2630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1158317</v>
      </c>
    </row>
    <row r="44" spans="1:51" hidden="1" x14ac:dyDescent="0.2">
      <c r="A44" t="s">
        <v>1</v>
      </c>
      <c r="C44">
        <v>42</v>
      </c>
      <c r="D44">
        <v>8</v>
      </c>
      <c r="E44" t="s">
        <v>129</v>
      </c>
      <c r="F44">
        <v>2014</v>
      </c>
      <c r="H44">
        <v>594862</v>
      </c>
      <c r="I44">
        <v>550724</v>
      </c>
      <c r="J44">
        <v>16572</v>
      </c>
      <c r="K44">
        <v>15897</v>
      </c>
      <c r="L44">
        <v>6996</v>
      </c>
      <c r="M44">
        <v>5740</v>
      </c>
      <c r="N44">
        <v>4321</v>
      </c>
      <c r="O44">
        <v>3803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1198915</v>
      </c>
    </row>
    <row r="45" spans="1:51" hidden="1" x14ac:dyDescent="0.2">
      <c r="A45" t="s">
        <v>2</v>
      </c>
      <c r="C45">
        <v>43</v>
      </c>
      <c r="D45">
        <v>9</v>
      </c>
      <c r="E45" t="s">
        <v>130</v>
      </c>
      <c r="F45">
        <v>2014</v>
      </c>
      <c r="H45">
        <v>169367</v>
      </c>
      <c r="I45">
        <v>127629</v>
      </c>
      <c r="J45">
        <v>14664</v>
      </c>
      <c r="K45">
        <v>9135</v>
      </c>
      <c r="L45">
        <v>6065</v>
      </c>
      <c r="M45">
        <v>3647</v>
      </c>
      <c r="N45">
        <v>2362</v>
      </c>
      <c r="O45">
        <v>1816</v>
      </c>
      <c r="P45">
        <v>980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335665</v>
      </c>
    </row>
    <row r="46" spans="1:51" hidden="1" x14ac:dyDescent="0.2">
      <c r="A46" t="s">
        <v>2</v>
      </c>
      <c r="C46">
        <v>44</v>
      </c>
      <c r="D46">
        <v>4</v>
      </c>
      <c r="E46" t="s">
        <v>131</v>
      </c>
      <c r="F46">
        <v>2014</v>
      </c>
      <c r="H46">
        <v>118455</v>
      </c>
      <c r="I46">
        <v>105977</v>
      </c>
      <c r="J46">
        <v>32354</v>
      </c>
      <c r="K46">
        <v>4505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261291</v>
      </c>
    </row>
    <row r="47" spans="1:51" hidden="1" x14ac:dyDescent="0.2">
      <c r="A47" t="s">
        <v>3</v>
      </c>
      <c r="C47">
        <v>45</v>
      </c>
      <c r="D47">
        <v>16</v>
      </c>
      <c r="E47" t="s">
        <v>132</v>
      </c>
      <c r="F47">
        <v>2014</v>
      </c>
      <c r="H47">
        <v>362866</v>
      </c>
      <c r="I47">
        <v>260772</v>
      </c>
      <c r="J47">
        <v>226562</v>
      </c>
      <c r="K47">
        <v>5556</v>
      </c>
      <c r="L47">
        <v>4266</v>
      </c>
      <c r="M47">
        <v>3658</v>
      </c>
      <c r="N47">
        <v>3437</v>
      </c>
      <c r="O47">
        <v>3114</v>
      </c>
      <c r="P47">
        <v>2465</v>
      </c>
      <c r="Q47">
        <v>2447</v>
      </c>
      <c r="R47">
        <v>2392</v>
      </c>
      <c r="S47">
        <v>2275</v>
      </c>
      <c r="T47">
        <v>1974</v>
      </c>
      <c r="U47">
        <v>1880</v>
      </c>
      <c r="V47">
        <v>1664</v>
      </c>
      <c r="W47">
        <v>1592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886920</v>
      </c>
    </row>
    <row r="48" spans="1:51" hidden="1" x14ac:dyDescent="0.2">
      <c r="A48" t="s">
        <v>3</v>
      </c>
      <c r="C48">
        <v>46</v>
      </c>
      <c r="D48">
        <v>18</v>
      </c>
      <c r="E48" t="s">
        <v>133</v>
      </c>
      <c r="F48">
        <v>2014</v>
      </c>
      <c r="H48">
        <v>336451</v>
      </c>
      <c r="I48">
        <v>301210</v>
      </c>
      <c r="J48">
        <v>85530</v>
      </c>
      <c r="K48">
        <v>12460</v>
      </c>
      <c r="L48">
        <v>8595</v>
      </c>
      <c r="M48">
        <v>8577</v>
      </c>
      <c r="N48">
        <v>8282</v>
      </c>
      <c r="O48">
        <v>7679</v>
      </c>
      <c r="P48">
        <v>6221</v>
      </c>
      <c r="Q48">
        <v>4310</v>
      </c>
      <c r="R48">
        <v>3347</v>
      </c>
      <c r="S48">
        <v>3151</v>
      </c>
      <c r="T48">
        <v>3118</v>
      </c>
      <c r="U48">
        <v>2740</v>
      </c>
      <c r="V48">
        <v>2462</v>
      </c>
      <c r="W48">
        <v>2170</v>
      </c>
      <c r="X48">
        <v>1922</v>
      </c>
      <c r="Y48">
        <v>1605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799830</v>
      </c>
    </row>
    <row r="49" spans="1:51" hidden="1" x14ac:dyDescent="0.2">
      <c r="A49" t="s">
        <v>3</v>
      </c>
      <c r="C49">
        <v>47</v>
      </c>
      <c r="D49">
        <v>6</v>
      </c>
      <c r="E49" t="s">
        <v>134</v>
      </c>
      <c r="F49">
        <v>2014</v>
      </c>
      <c r="H49">
        <v>213152</v>
      </c>
      <c r="I49">
        <v>189057</v>
      </c>
      <c r="J49">
        <v>108299</v>
      </c>
      <c r="K49">
        <v>11762</v>
      </c>
      <c r="L49">
        <v>11747</v>
      </c>
      <c r="M49">
        <v>9263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543280</v>
      </c>
    </row>
    <row r="50" spans="1:51" hidden="1" x14ac:dyDescent="0.2">
      <c r="A50" t="s">
        <v>3</v>
      </c>
      <c r="C50">
        <v>48</v>
      </c>
      <c r="D50">
        <v>16</v>
      </c>
      <c r="E50" t="s">
        <v>135</v>
      </c>
      <c r="F50">
        <v>2014</v>
      </c>
      <c r="H50">
        <v>592569</v>
      </c>
      <c r="I50">
        <v>362839</v>
      </c>
      <c r="J50">
        <v>298985</v>
      </c>
      <c r="K50">
        <v>40208</v>
      </c>
      <c r="L50">
        <v>23816</v>
      </c>
      <c r="M50">
        <v>9897</v>
      </c>
      <c r="N50">
        <v>7874</v>
      </c>
      <c r="O50">
        <v>5935</v>
      </c>
      <c r="P50">
        <v>5811</v>
      </c>
      <c r="Q50">
        <v>4607</v>
      </c>
      <c r="R50">
        <v>4468</v>
      </c>
      <c r="S50">
        <v>3277</v>
      </c>
      <c r="T50">
        <v>2785</v>
      </c>
      <c r="U50">
        <v>2723</v>
      </c>
      <c r="V50">
        <v>2375</v>
      </c>
      <c r="W50">
        <v>1455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1369624</v>
      </c>
    </row>
    <row r="51" spans="1:51" hidden="1" x14ac:dyDescent="0.2">
      <c r="A51" t="s">
        <v>3</v>
      </c>
      <c r="C51">
        <v>49</v>
      </c>
      <c r="D51">
        <v>7</v>
      </c>
      <c r="E51" t="s">
        <v>136</v>
      </c>
      <c r="F51">
        <v>2014</v>
      </c>
      <c r="H51">
        <v>634428</v>
      </c>
      <c r="I51">
        <v>278649</v>
      </c>
      <c r="J51">
        <v>243759</v>
      </c>
      <c r="K51">
        <v>20074</v>
      </c>
      <c r="L51">
        <v>18183</v>
      </c>
      <c r="M51">
        <v>17537</v>
      </c>
      <c r="N51">
        <v>11239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1223869</v>
      </c>
    </row>
    <row r="52" spans="1:51" hidden="1" x14ac:dyDescent="0.2">
      <c r="A52" t="s">
        <v>3</v>
      </c>
      <c r="C52">
        <v>50</v>
      </c>
      <c r="D52">
        <v>16</v>
      </c>
      <c r="E52" t="s">
        <v>137</v>
      </c>
      <c r="F52">
        <v>2014</v>
      </c>
      <c r="H52">
        <v>394702</v>
      </c>
      <c r="I52">
        <v>352361</v>
      </c>
      <c r="J52">
        <v>277802</v>
      </c>
      <c r="K52">
        <v>73733</v>
      </c>
      <c r="L52">
        <v>27575</v>
      </c>
      <c r="M52">
        <v>24444</v>
      </c>
      <c r="N52">
        <v>20135</v>
      </c>
      <c r="O52">
        <v>10944</v>
      </c>
      <c r="P52">
        <v>5710</v>
      </c>
      <c r="Q52">
        <v>4785</v>
      </c>
      <c r="R52">
        <v>3433</v>
      </c>
      <c r="S52">
        <v>3099</v>
      </c>
      <c r="T52">
        <v>1937</v>
      </c>
      <c r="U52">
        <v>1859</v>
      </c>
      <c r="V52">
        <v>1695</v>
      </c>
      <c r="W52">
        <v>1649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1205863</v>
      </c>
    </row>
    <row r="53" spans="1:51" hidden="1" x14ac:dyDescent="0.2">
      <c r="A53" t="s">
        <v>3</v>
      </c>
      <c r="C53">
        <v>51</v>
      </c>
      <c r="D53">
        <v>19</v>
      </c>
      <c r="E53" t="s">
        <v>138</v>
      </c>
      <c r="F53">
        <v>2014</v>
      </c>
      <c r="H53">
        <v>764985</v>
      </c>
      <c r="I53">
        <v>449201</v>
      </c>
      <c r="J53">
        <v>137254</v>
      </c>
      <c r="K53">
        <v>86546</v>
      </c>
      <c r="L53">
        <v>12432</v>
      </c>
      <c r="M53">
        <v>8162</v>
      </c>
      <c r="N53">
        <v>7345</v>
      </c>
      <c r="O53">
        <v>6720</v>
      </c>
      <c r="P53">
        <v>6636</v>
      </c>
      <c r="Q53">
        <v>5782</v>
      </c>
      <c r="R53">
        <v>4809</v>
      </c>
      <c r="S53">
        <v>3540</v>
      </c>
      <c r="T53">
        <v>3240</v>
      </c>
      <c r="U53">
        <v>2845</v>
      </c>
      <c r="V53">
        <v>2629</v>
      </c>
      <c r="W53">
        <v>2532</v>
      </c>
      <c r="X53">
        <v>2411</v>
      </c>
      <c r="Y53">
        <v>2385</v>
      </c>
      <c r="Z53">
        <v>2275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1511729</v>
      </c>
    </row>
    <row r="54" spans="1:51" hidden="1" x14ac:dyDescent="0.2">
      <c r="A54" t="s">
        <v>3</v>
      </c>
      <c r="C54">
        <v>52</v>
      </c>
      <c r="D54">
        <v>13</v>
      </c>
      <c r="E54" t="s">
        <v>139</v>
      </c>
      <c r="F54">
        <v>2014</v>
      </c>
      <c r="H54">
        <v>486357</v>
      </c>
      <c r="I54">
        <v>463473</v>
      </c>
      <c r="J54">
        <v>86347</v>
      </c>
      <c r="K54">
        <v>74710</v>
      </c>
      <c r="L54">
        <v>66467</v>
      </c>
      <c r="M54">
        <v>12443</v>
      </c>
      <c r="N54">
        <v>10722</v>
      </c>
      <c r="O54">
        <v>8341</v>
      </c>
      <c r="P54">
        <v>7600</v>
      </c>
      <c r="Q54">
        <v>5531</v>
      </c>
      <c r="R54">
        <v>4164</v>
      </c>
      <c r="S54">
        <v>3658</v>
      </c>
      <c r="T54">
        <v>3424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1233237</v>
      </c>
    </row>
    <row r="55" spans="1:51" hidden="1" x14ac:dyDescent="0.2">
      <c r="A55" t="s">
        <v>3</v>
      </c>
      <c r="C55">
        <v>53</v>
      </c>
      <c r="D55">
        <v>10</v>
      </c>
      <c r="E55" t="s">
        <v>140</v>
      </c>
      <c r="F55">
        <v>2014</v>
      </c>
      <c r="H55">
        <v>446511</v>
      </c>
      <c r="I55">
        <v>360491</v>
      </c>
      <c r="J55">
        <v>62730</v>
      </c>
      <c r="K55">
        <v>40489</v>
      </c>
      <c r="L55">
        <v>24910</v>
      </c>
      <c r="M55">
        <v>16667</v>
      </c>
      <c r="N55">
        <v>10725</v>
      </c>
      <c r="O55">
        <v>8712</v>
      </c>
      <c r="P55">
        <v>5207</v>
      </c>
      <c r="Q55">
        <v>4246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980688</v>
      </c>
    </row>
    <row r="56" spans="1:51" hidden="1" x14ac:dyDescent="0.2">
      <c r="A56" t="s">
        <v>3</v>
      </c>
      <c r="C56">
        <v>54</v>
      </c>
      <c r="D56">
        <v>9</v>
      </c>
      <c r="E56" t="s">
        <v>141</v>
      </c>
      <c r="F56">
        <v>2014</v>
      </c>
      <c r="H56">
        <v>494146</v>
      </c>
      <c r="I56">
        <v>350587</v>
      </c>
      <c r="J56">
        <v>314012</v>
      </c>
      <c r="K56">
        <v>35142</v>
      </c>
      <c r="L56">
        <v>11325</v>
      </c>
      <c r="M56">
        <v>8782</v>
      </c>
      <c r="N56">
        <v>6835</v>
      </c>
      <c r="O56">
        <v>6462</v>
      </c>
      <c r="P56">
        <v>2783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1230074</v>
      </c>
    </row>
    <row r="57" spans="1:51" hidden="1" x14ac:dyDescent="0.2">
      <c r="A57" t="s">
        <v>3</v>
      </c>
      <c r="C57">
        <v>55</v>
      </c>
      <c r="D57">
        <v>14</v>
      </c>
      <c r="E57" t="s">
        <v>142</v>
      </c>
      <c r="F57">
        <v>2014</v>
      </c>
      <c r="H57">
        <v>443315</v>
      </c>
      <c r="I57">
        <v>349441</v>
      </c>
      <c r="J57">
        <v>231295</v>
      </c>
      <c r="K57">
        <v>78132</v>
      </c>
      <c r="L57">
        <v>12403</v>
      </c>
      <c r="M57">
        <v>9583</v>
      </c>
      <c r="N57">
        <v>9133</v>
      </c>
      <c r="O57">
        <v>8271</v>
      </c>
      <c r="P57">
        <v>6538</v>
      </c>
      <c r="Q57">
        <v>5433</v>
      </c>
      <c r="R57">
        <v>4985</v>
      </c>
      <c r="S57">
        <v>2966</v>
      </c>
      <c r="T57">
        <v>2584</v>
      </c>
      <c r="U57">
        <v>2411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1166490</v>
      </c>
    </row>
    <row r="58" spans="1:51" hidden="1" x14ac:dyDescent="0.2">
      <c r="A58" t="s">
        <v>3</v>
      </c>
      <c r="C58">
        <v>56</v>
      </c>
      <c r="D58">
        <v>11</v>
      </c>
      <c r="E58" t="s">
        <v>143</v>
      </c>
      <c r="F58">
        <v>2014</v>
      </c>
      <c r="H58">
        <v>456420</v>
      </c>
      <c r="I58">
        <v>354000</v>
      </c>
      <c r="J58">
        <v>46626</v>
      </c>
      <c r="K58">
        <v>28930</v>
      </c>
      <c r="L58">
        <v>14648</v>
      </c>
      <c r="M58">
        <v>7331</v>
      </c>
      <c r="N58">
        <v>5759</v>
      </c>
      <c r="O58">
        <v>5754</v>
      </c>
      <c r="P58">
        <v>4737</v>
      </c>
      <c r="Q58">
        <v>3659</v>
      </c>
      <c r="R58">
        <v>3472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931336</v>
      </c>
    </row>
    <row r="59" spans="1:51" hidden="1" x14ac:dyDescent="0.2">
      <c r="A59" t="s">
        <v>3</v>
      </c>
      <c r="C59">
        <v>57</v>
      </c>
      <c r="D59">
        <v>7</v>
      </c>
      <c r="E59" t="s">
        <v>144</v>
      </c>
      <c r="F59">
        <v>2014</v>
      </c>
      <c r="H59">
        <v>494364</v>
      </c>
      <c r="I59">
        <v>309017</v>
      </c>
      <c r="J59">
        <v>45710</v>
      </c>
      <c r="K59">
        <v>16809</v>
      </c>
      <c r="L59">
        <v>9374</v>
      </c>
      <c r="M59">
        <v>8582</v>
      </c>
      <c r="N59">
        <v>7112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890968</v>
      </c>
    </row>
    <row r="60" spans="1:51" hidden="1" x14ac:dyDescent="0.2">
      <c r="A60" t="s">
        <v>3</v>
      </c>
      <c r="C60">
        <v>58</v>
      </c>
      <c r="D60">
        <v>14</v>
      </c>
      <c r="E60" t="s">
        <v>145</v>
      </c>
      <c r="F60">
        <v>2014</v>
      </c>
      <c r="H60">
        <v>612543</v>
      </c>
      <c r="I60">
        <v>320405</v>
      </c>
      <c r="J60">
        <v>81753</v>
      </c>
      <c r="K60">
        <v>37343</v>
      </c>
      <c r="L60">
        <v>11204</v>
      </c>
      <c r="M60">
        <v>9095</v>
      </c>
      <c r="N60">
        <v>6896</v>
      </c>
      <c r="O60">
        <v>6335</v>
      </c>
      <c r="P60">
        <v>6013</v>
      </c>
      <c r="Q60">
        <v>5903</v>
      </c>
      <c r="R60">
        <v>4721</v>
      </c>
      <c r="S60">
        <v>4119</v>
      </c>
      <c r="T60">
        <v>2893</v>
      </c>
      <c r="U60">
        <v>2752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1111975</v>
      </c>
    </row>
    <row r="61" spans="1:51" hidden="1" x14ac:dyDescent="0.2">
      <c r="A61" t="s">
        <v>4</v>
      </c>
      <c r="C61">
        <v>59</v>
      </c>
      <c r="D61">
        <v>15</v>
      </c>
      <c r="E61" t="s">
        <v>146</v>
      </c>
      <c r="F61">
        <v>2014</v>
      </c>
      <c r="H61">
        <v>364013</v>
      </c>
      <c r="I61">
        <v>246218</v>
      </c>
      <c r="J61">
        <v>81612</v>
      </c>
      <c r="K61">
        <v>58817</v>
      </c>
      <c r="L61">
        <v>35888</v>
      </c>
      <c r="M61">
        <v>27603</v>
      </c>
      <c r="N61">
        <v>15515</v>
      </c>
      <c r="O61">
        <v>12581</v>
      </c>
      <c r="P61">
        <v>11668</v>
      </c>
      <c r="Q61">
        <v>11509</v>
      </c>
      <c r="R61">
        <v>10786</v>
      </c>
      <c r="S61">
        <v>8013</v>
      </c>
      <c r="T61">
        <v>6008</v>
      </c>
      <c r="U61">
        <v>5525</v>
      </c>
      <c r="V61">
        <v>4371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900127</v>
      </c>
    </row>
    <row r="62" spans="1:51" hidden="1" x14ac:dyDescent="0.2">
      <c r="A62" t="s">
        <v>4</v>
      </c>
      <c r="C62">
        <v>60</v>
      </c>
      <c r="D62">
        <v>13</v>
      </c>
      <c r="E62" t="s">
        <v>147</v>
      </c>
      <c r="F62">
        <v>2014</v>
      </c>
      <c r="H62">
        <v>371232</v>
      </c>
      <c r="I62">
        <v>260978</v>
      </c>
      <c r="J62">
        <v>121800</v>
      </c>
      <c r="K62">
        <v>18804</v>
      </c>
      <c r="L62">
        <v>17157</v>
      </c>
      <c r="M62">
        <v>12415</v>
      </c>
      <c r="N62">
        <v>11260</v>
      </c>
      <c r="O62">
        <v>10502</v>
      </c>
      <c r="P62">
        <v>9123</v>
      </c>
      <c r="Q62">
        <v>6474</v>
      </c>
      <c r="R62">
        <v>5818</v>
      </c>
      <c r="S62">
        <v>4940</v>
      </c>
      <c r="T62">
        <v>4297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854800</v>
      </c>
    </row>
    <row r="63" spans="1:51" hidden="1" x14ac:dyDescent="0.2">
      <c r="A63" t="s">
        <v>4</v>
      </c>
      <c r="C63">
        <v>61</v>
      </c>
      <c r="D63">
        <v>16</v>
      </c>
      <c r="E63" t="s">
        <v>148</v>
      </c>
      <c r="F63">
        <v>2014</v>
      </c>
      <c r="H63">
        <v>400452</v>
      </c>
      <c r="I63">
        <v>208289</v>
      </c>
      <c r="J63">
        <v>128604</v>
      </c>
      <c r="K63">
        <v>13261</v>
      </c>
      <c r="L63">
        <v>11371</v>
      </c>
      <c r="M63">
        <v>10759</v>
      </c>
      <c r="N63">
        <v>10505</v>
      </c>
      <c r="O63">
        <v>10356</v>
      </c>
      <c r="P63">
        <v>7512</v>
      </c>
      <c r="Q63">
        <v>4893</v>
      </c>
      <c r="R63">
        <v>3027</v>
      </c>
      <c r="S63">
        <v>2946</v>
      </c>
      <c r="T63">
        <v>2819</v>
      </c>
      <c r="U63">
        <v>2811</v>
      </c>
      <c r="V63">
        <v>2607</v>
      </c>
      <c r="W63">
        <v>2459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822671</v>
      </c>
    </row>
    <row r="64" spans="1:51" hidden="1" x14ac:dyDescent="0.2">
      <c r="A64" t="s">
        <v>4</v>
      </c>
      <c r="C64">
        <v>62</v>
      </c>
      <c r="D64">
        <v>16</v>
      </c>
      <c r="E64" t="s">
        <v>149</v>
      </c>
      <c r="F64">
        <v>2014</v>
      </c>
      <c r="H64">
        <v>372506</v>
      </c>
      <c r="I64">
        <v>236267</v>
      </c>
      <c r="J64">
        <v>79108</v>
      </c>
      <c r="K64">
        <v>46008</v>
      </c>
      <c r="L64">
        <v>26446</v>
      </c>
      <c r="M64">
        <v>18681</v>
      </c>
      <c r="N64">
        <v>12161</v>
      </c>
      <c r="O64">
        <v>11670</v>
      </c>
      <c r="P64">
        <v>8256</v>
      </c>
      <c r="Q64">
        <v>8245</v>
      </c>
      <c r="R64">
        <v>5941</v>
      </c>
      <c r="S64">
        <v>4641</v>
      </c>
      <c r="T64">
        <v>4399</v>
      </c>
      <c r="U64">
        <v>3072</v>
      </c>
      <c r="V64">
        <v>2845</v>
      </c>
      <c r="W64">
        <v>2648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842894</v>
      </c>
    </row>
    <row r="65" spans="1:51" hidden="1" x14ac:dyDescent="0.2">
      <c r="A65" t="s">
        <v>4</v>
      </c>
      <c r="C65">
        <v>63</v>
      </c>
      <c r="D65">
        <v>20</v>
      </c>
      <c r="E65" t="s">
        <v>150</v>
      </c>
      <c r="F65">
        <v>2014</v>
      </c>
      <c r="H65">
        <v>411265</v>
      </c>
      <c r="I65">
        <v>263300</v>
      </c>
      <c r="J65">
        <v>97188</v>
      </c>
      <c r="K65">
        <v>20613</v>
      </c>
      <c r="L65">
        <v>18043</v>
      </c>
      <c r="M65">
        <v>11250</v>
      </c>
      <c r="N65">
        <v>8846</v>
      </c>
      <c r="O65">
        <v>8521</v>
      </c>
      <c r="P65">
        <v>7853</v>
      </c>
      <c r="Q65">
        <v>7586</v>
      </c>
      <c r="R65">
        <v>6115</v>
      </c>
      <c r="S65">
        <v>6078</v>
      </c>
      <c r="T65">
        <v>5949</v>
      </c>
      <c r="U65">
        <v>5454</v>
      </c>
      <c r="V65">
        <v>4692</v>
      </c>
      <c r="W65">
        <v>4501</v>
      </c>
      <c r="X65">
        <v>3880</v>
      </c>
      <c r="Y65">
        <v>3695</v>
      </c>
      <c r="Z65">
        <v>2996</v>
      </c>
      <c r="AA65">
        <v>2763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900588</v>
      </c>
    </row>
    <row r="66" spans="1:51" hidden="1" x14ac:dyDescent="0.2">
      <c r="A66" t="s">
        <v>4</v>
      </c>
      <c r="C66">
        <v>64</v>
      </c>
      <c r="D66">
        <v>12</v>
      </c>
      <c r="E66" t="s">
        <v>151</v>
      </c>
      <c r="F66">
        <v>2014</v>
      </c>
      <c r="H66">
        <v>358040</v>
      </c>
      <c r="I66">
        <v>337505</v>
      </c>
      <c r="J66">
        <v>56392</v>
      </c>
      <c r="K66">
        <v>30942</v>
      </c>
      <c r="L66">
        <v>18937</v>
      </c>
      <c r="M66">
        <v>10115</v>
      </c>
      <c r="N66">
        <v>9718</v>
      </c>
      <c r="O66">
        <v>9474</v>
      </c>
      <c r="P66">
        <v>8464</v>
      </c>
      <c r="Q66">
        <v>7453</v>
      </c>
      <c r="R66">
        <v>6750</v>
      </c>
      <c r="S66">
        <v>6663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860453</v>
      </c>
    </row>
    <row r="67" spans="1:51" hidden="1" x14ac:dyDescent="0.2">
      <c r="A67" t="s">
        <v>4</v>
      </c>
      <c r="C67">
        <v>65</v>
      </c>
      <c r="D67">
        <v>20</v>
      </c>
      <c r="E67" t="s">
        <v>152</v>
      </c>
      <c r="F67">
        <v>2014</v>
      </c>
      <c r="H67">
        <v>335481</v>
      </c>
      <c r="I67">
        <v>280073</v>
      </c>
      <c r="J67">
        <v>183591</v>
      </c>
      <c r="K67">
        <v>17790</v>
      </c>
      <c r="L67">
        <v>14190</v>
      </c>
      <c r="M67">
        <v>13833</v>
      </c>
      <c r="N67">
        <v>9823</v>
      </c>
      <c r="O67">
        <v>9441</v>
      </c>
      <c r="P67">
        <v>9388</v>
      </c>
      <c r="Q67">
        <v>8689</v>
      </c>
      <c r="R67">
        <v>8083</v>
      </c>
      <c r="S67">
        <v>8043</v>
      </c>
      <c r="T67">
        <v>7632</v>
      </c>
      <c r="U67">
        <v>7358</v>
      </c>
      <c r="V67">
        <v>5653</v>
      </c>
      <c r="W67">
        <v>5439</v>
      </c>
      <c r="X67">
        <v>4811</v>
      </c>
      <c r="Y67">
        <v>4248</v>
      </c>
      <c r="Z67">
        <v>3956</v>
      </c>
      <c r="AA67">
        <v>3727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941249</v>
      </c>
    </row>
    <row r="68" spans="1:51" hidden="1" x14ac:dyDescent="0.2">
      <c r="A68" t="s">
        <v>4</v>
      </c>
      <c r="C68">
        <v>66</v>
      </c>
      <c r="D68">
        <v>13</v>
      </c>
      <c r="E68" t="s">
        <v>153</v>
      </c>
      <c r="F68">
        <v>2014</v>
      </c>
      <c r="H68">
        <v>332927</v>
      </c>
      <c r="I68">
        <v>273255</v>
      </c>
      <c r="J68">
        <v>249693</v>
      </c>
      <c r="K68">
        <v>21996</v>
      </c>
      <c r="L68">
        <v>21233</v>
      </c>
      <c r="M68">
        <v>14754</v>
      </c>
      <c r="N68">
        <v>11566</v>
      </c>
      <c r="O68">
        <v>10687</v>
      </c>
      <c r="P68">
        <v>9604</v>
      </c>
      <c r="Q68">
        <v>8908</v>
      </c>
      <c r="R68">
        <v>5964</v>
      </c>
      <c r="S68">
        <v>5116</v>
      </c>
      <c r="T68">
        <v>4825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970528</v>
      </c>
    </row>
    <row r="69" spans="1:51" hidden="1" x14ac:dyDescent="0.2">
      <c r="A69" t="s">
        <v>4</v>
      </c>
      <c r="C69">
        <v>67</v>
      </c>
      <c r="D69">
        <v>14</v>
      </c>
      <c r="E69" t="s">
        <v>154</v>
      </c>
      <c r="F69">
        <v>2014</v>
      </c>
      <c r="H69">
        <v>407978</v>
      </c>
      <c r="I69">
        <v>261474</v>
      </c>
      <c r="J69">
        <v>221769</v>
      </c>
      <c r="K69">
        <v>17724</v>
      </c>
      <c r="L69">
        <v>16608</v>
      </c>
      <c r="M69">
        <v>10704</v>
      </c>
      <c r="N69">
        <v>6376</v>
      </c>
      <c r="O69">
        <v>5685</v>
      </c>
      <c r="P69">
        <v>5645</v>
      </c>
      <c r="Q69">
        <v>5292</v>
      </c>
      <c r="R69">
        <v>5149</v>
      </c>
      <c r="S69">
        <v>4646</v>
      </c>
      <c r="T69">
        <v>3411</v>
      </c>
      <c r="U69">
        <v>3350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975811</v>
      </c>
    </row>
    <row r="70" spans="1:51" hidden="1" x14ac:dyDescent="0.2">
      <c r="A70" t="s">
        <v>4</v>
      </c>
      <c r="C70">
        <v>68</v>
      </c>
      <c r="D70">
        <v>11</v>
      </c>
      <c r="E70" t="s">
        <v>155</v>
      </c>
      <c r="F70">
        <v>2014</v>
      </c>
      <c r="H70">
        <v>493461</v>
      </c>
      <c r="I70">
        <v>298849</v>
      </c>
      <c r="J70">
        <v>55822</v>
      </c>
      <c r="K70">
        <v>17206</v>
      </c>
      <c r="L70">
        <v>15010</v>
      </c>
      <c r="M70">
        <v>14903</v>
      </c>
      <c r="N70">
        <v>11392</v>
      </c>
      <c r="O70">
        <v>5714</v>
      </c>
      <c r="P70">
        <v>5559</v>
      </c>
      <c r="Q70">
        <v>5422</v>
      </c>
      <c r="R70">
        <v>5152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928490</v>
      </c>
    </row>
    <row r="71" spans="1:51" hidden="1" x14ac:dyDescent="0.2">
      <c r="A71" t="s">
        <v>4</v>
      </c>
      <c r="C71">
        <v>69</v>
      </c>
      <c r="D71">
        <v>22</v>
      </c>
      <c r="E71" t="s">
        <v>156</v>
      </c>
      <c r="F71">
        <v>2014</v>
      </c>
      <c r="H71">
        <v>431292</v>
      </c>
      <c r="I71">
        <v>316552</v>
      </c>
      <c r="J71">
        <v>100765</v>
      </c>
      <c r="K71">
        <v>33593</v>
      </c>
      <c r="L71">
        <v>15547</v>
      </c>
      <c r="M71">
        <v>10516</v>
      </c>
      <c r="N71">
        <v>9461</v>
      </c>
      <c r="O71">
        <v>9000</v>
      </c>
      <c r="P71">
        <v>8392</v>
      </c>
      <c r="Q71">
        <v>7969</v>
      </c>
      <c r="R71">
        <v>4514</v>
      </c>
      <c r="S71">
        <v>4450</v>
      </c>
      <c r="T71">
        <v>4323</v>
      </c>
      <c r="U71">
        <v>3287</v>
      </c>
      <c r="V71">
        <v>3096</v>
      </c>
      <c r="W71">
        <v>2685</v>
      </c>
      <c r="X71">
        <v>2550</v>
      </c>
      <c r="Y71">
        <v>2489</v>
      </c>
      <c r="Z71">
        <v>2141</v>
      </c>
      <c r="AA71">
        <v>1980</v>
      </c>
      <c r="AB71">
        <v>1675</v>
      </c>
      <c r="AC71">
        <v>1553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977830</v>
      </c>
    </row>
    <row r="72" spans="1:51" hidden="1" x14ac:dyDescent="0.2">
      <c r="A72" t="s">
        <v>4</v>
      </c>
      <c r="C72">
        <v>70</v>
      </c>
      <c r="D72">
        <v>18</v>
      </c>
      <c r="E72" t="s">
        <v>157</v>
      </c>
      <c r="F72">
        <v>2014</v>
      </c>
      <c r="H72">
        <v>418826</v>
      </c>
      <c r="I72">
        <v>302157</v>
      </c>
      <c r="J72">
        <v>124344</v>
      </c>
      <c r="K72">
        <v>50446</v>
      </c>
      <c r="L72">
        <v>18776</v>
      </c>
      <c r="M72">
        <v>16630</v>
      </c>
      <c r="N72">
        <v>11982</v>
      </c>
      <c r="O72">
        <v>11196</v>
      </c>
      <c r="P72">
        <v>9196</v>
      </c>
      <c r="Q72">
        <v>9162</v>
      </c>
      <c r="R72">
        <v>8321</v>
      </c>
      <c r="S72">
        <v>7912</v>
      </c>
      <c r="T72">
        <v>6324</v>
      </c>
      <c r="U72">
        <v>5849</v>
      </c>
      <c r="V72">
        <v>5137</v>
      </c>
      <c r="W72">
        <v>4664</v>
      </c>
      <c r="X72">
        <v>3440</v>
      </c>
      <c r="Y72">
        <v>3370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1017732</v>
      </c>
    </row>
    <row r="73" spans="1:51" hidden="1" x14ac:dyDescent="0.2">
      <c r="A73" t="s">
        <v>4</v>
      </c>
      <c r="C73">
        <v>71</v>
      </c>
      <c r="D73">
        <v>13</v>
      </c>
      <c r="E73" t="s">
        <v>158</v>
      </c>
      <c r="F73">
        <v>2014</v>
      </c>
      <c r="H73">
        <v>368937</v>
      </c>
      <c r="I73">
        <v>312728</v>
      </c>
      <c r="J73">
        <v>252534</v>
      </c>
      <c r="K73">
        <v>21924</v>
      </c>
      <c r="L73">
        <v>18084</v>
      </c>
      <c r="M73">
        <v>12247</v>
      </c>
      <c r="N73">
        <v>9585</v>
      </c>
      <c r="O73">
        <v>9538</v>
      </c>
      <c r="P73">
        <v>9039</v>
      </c>
      <c r="Q73">
        <v>6649</v>
      </c>
      <c r="R73">
        <v>5370</v>
      </c>
      <c r="S73">
        <v>4396</v>
      </c>
      <c r="T73">
        <v>3768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1034799</v>
      </c>
    </row>
    <row r="74" spans="1:51" hidden="1" x14ac:dyDescent="0.2">
      <c r="A74" t="s">
        <v>4</v>
      </c>
      <c r="C74">
        <v>72</v>
      </c>
      <c r="D74">
        <v>16</v>
      </c>
      <c r="E74" t="s">
        <v>159</v>
      </c>
      <c r="F74">
        <v>2014</v>
      </c>
      <c r="H74">
        <v>314949</v>
      </c>
      <c r="I74">
        <v>279906</v>
      </c>
      <c r="J74">
        <v>104494</v>
      </c>
      <c r="K74">
        <v>25277</v>
      </c>
      <c r="L74">
        <v>21103</v>
      </c>
      <c r="M74">
        <v>16125</v>
      </c>
      <c r="N74">
        <v>11606</v>
      </c>
      <c r="O74">
        <v>10080</v>
      </c>
      <c r="P74">
        <v>9111</v>
      </c>
      <c r="Q74">
        <v>8835</v>
      </c>
      <c r="R74">
        <v>7550</v>
      </c>
      <c r="S74">
        <v>5963</v>
      </c>
      <c r="T74">
        <v>4558</v>
      </c>
      <c r="U74">
        <v>2956</v>
      </c>
      <c r="V74">
        <v>2929</v>
      </c>
      <c r="W74">
        <v>2900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828342</v>
      </c>
    </row>
    <row r="75" spans="1:51" hidden="1" x14ac:dyDescent="0.2">
      <c r="A75" t="s">
        <v>4</v>
      </c>
      <c r="C75">
        <v>73</v>
      </c>
      <c r="D75">
        <v>30</v>
      </c>
      <c r="E75" t="s">
        <v>160</v>
      </c>
      <c r="F75">
        <v>2014</v>
      </c>
      <c r="H75">
        <v>469295</v>
      </c>
      <c r="I75">
        <v>246873</v>
      </c>
      <c r="J75">
        <v>85140</v>
      </c>
      <c r="K75">
        <v>19945</v>
      </c>
      <c r="L75">
        <v>13283</v>
      </c>
      <c r="M75">
        <v>9690</v>
      </c>
      <c r="N75">
        <v>9202</v>
      </c>
      <c r="O75">
        <v>9069</v>
      </c>
      <c r="P75">
        <v>8223</v>
      </c>
      <c r="Q75">
        <v>7978</v>
      </c>
      <c r="R75">
        <v>7569</v>
      </c>
      <c r="S75">
        <v>6945</v>
      </c>
      <c r="T75">
        <v>6118</v>
      </c>
      <c r="U75">
        <v>5211</v>
      </c>
      <c r="V75">
        <v>4309</v>
      </c>
      <c r="W75">
        <v>3746</v>
      </c>
      <c r="X75">
        <v>3734</v>
      </c>
      <c r="Y75">
        <v>3365</v>
      </c>
      <c r="Z75">
        <v>3334</v>
      </c>
      <c r="AA75">
        <v>3147</v>
      </c>
      <c r="AB75">
        <v>2755</v>
      </c>
      <c r="AC75">
        <v>2471</v>
      </c>
      <c r="AD75">
        <v>2370</v>
      </c>
      <c r="AE75">
        <v>2364</v>
      </c>
      <c r="AF75">
        <v>2354</v>
      </c>
      <c r="AG75">
        <v>2299</v>
      </c>
      <c r="AH75">
        <v>2271</v>
      </c>
      <c r="AI75">
        <v>2269</v>
      </c>
      <c r="AJ75">
        <v>1809</v>
      </c>
      <c r="AK75">
        <v>1749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948887</v>
      </c>
    </row>
    <row r="76" spans="1:51" hidden="1" x14ac:dyDescent="0.2">
      <c r="A76" t="s">
        <v>4</v>
      </c>
      <c r="C76">
        <v>74</v>
      </c>
      <c r="D76">
        <v>23</v>
      </c>
      <c r="E76" t="s">
        <v>161</v>
      </c>
      <c r="F76">
        <v>2014</v>
      </c>
      <c r="H76">
        <v>305450</v>
      </c>
      <c r="I76">
        <v>206183</v>
      </c>
      <c r="J76">
        <v>145182</v>
      </c>
      <c r="K76">
        <v>104229</v>
      </c>
      <c r="L76">
        <v>23677</v>
      </c>
      <c r="M76">
        <v>22455</v>
      </c>
      <c r="N76">
        <v>15178</v>
      </c>
      <c r="O76">
        <v>12369</v>
      </c>
      <c r="P76">
        <v>11540</v>
      </c>
      <c r="Q76">
        <v>11075</v>
      </c>
      <c r="R76">
        <v>8254</v>
      </c>
      <c r="S76">
        <v>7768</v>
      </c>
      <c r="T76">
        <v>7182</v>
      </c>
      <c r="U76">
        <v>6430</v>
      </c>
      <c r="V76">
        <v>6060</v>
      </c>
      <c r="W76">
        <v>5497</v>
      </c>
      <c r="X76">
        <v>5483</v>
      </c>
      <c r="Y76">
        <v>5218</v>
      </c>
      <c r="Z76">
        <v>4000</v>
      </c>
      <c r="AA76">
        <v>3866</v>
      </c>
      <c r="AB76">
        <v>3191</v>
      </c>
      <c r="AC76">
        <v>2983</v>
      </c>
      <c r="AD76">
        <v>2667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925937</v>
      </c>
    </row>
    <row r="77" spans="1:51" hidden="1" x14ac:dyDescent="0.2">
      <c r="A77" t="s">
        <v>4</v>
      </c>
      <c r="C77">
        <v>75</v>
      </c>
      <c r="D77">
        <v>15</v>
      </c>
      <c r="E77" t="s">
        <v>162</v>
      </c>
      <c r="F77">
        <v>2014</v>
      </c>
      <c r="H77">
        <v>478773</v>
      </c>
      <c r="I77">
        <v>191837</v>
      </c>
      <c r="J77">
        <v>100419</v>
      </c>
      <c r="K77">
        <v>17841</v>
      </c>
      <c r="L77">
        <v>16751</v>
      </c>
      <c r="M77">
        <v>16680</v>
      </c>
      <c r="N77">
        <v>14162</v>
      </c>
      <c r="O77">
        <v>13983</v>
      </c>
      <c r="P77">
        <v>12423</v>
      </c>
      <c r="Q77">
        <v>9509</v>
      </c>
      <c r="R77">
        <v>8491</v>
      </c>
      <c r="S77">
        <v>7147</v>
      </c>
      <c r="T77">
        <v>6264</v>
      </c>
      <c r="U77">
        <v>4717</v>
      </c>
      <c r="V77">
        <v>4586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903583</v>
      </c>
    </row>
    <row r="78" spans="1:51" hidden="1" x14ac:dyDescent="0.2">
      <c r="A78" t="s">
        <v>4</v>
      </c>
      <c r="C78">
        <v>76</v>
      </c>
      <c r="D78">
        <v>14</v>
      </c>
      <c r="E78" t="s">
        <v>163</v>
      </c>
      <c r="F78">
        <v>2014</v>
      </c>
      <c r="H78">
        <v>372670</v>
      </c>
      <c r="I78">
        <v>258823</v>
      </c>
      <c r="J78">
        <v>81006</v>
      </c>
      <c r="K78">
        <v>79239</v>
      </c>
      <c r="L78">
        <v>21409</v>
      </c>
      <c r="M78">
        <v>14584</v>
      </c>
      <c r="N78">
        <v>11757</v>
      </c>
      <c r="O78">
        <v>10542</v>
      </c>
      <c r="P78">
        <v>9580</v>
      </c>
      <c r="Q78">
        <v>8851</v>
      </c>
      <c r="R78">
        <v>5683</v>
      </c>
      <c r="S78">
        <v>4016</v>
      </c>
      <c r="T78">
        <v>3250</v>
      </c>
      <c r="U78">
        <v>2611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884021</v>
      </c>
    </row>
    <row r="79" spans="1:51" hidden="1" x14ac:dyDescent="0.2">
      <c r="A79" t="s">
        <v>4</v>
      </c>
      <c r="C79">
        <v>77</v>
      </c>
      <c r="D79">
        <v>11</v>
      </c>
      <c r="E79" t="s">
        <v>164</v>
      </c>
      <c r="F79">
        <v>2014</v>
      </c>
      <c r="H79">
        <v>320753</v>
      </c>
      <c r="I79">
        <v>282338</v>
      </c>
      <c r="J79">
        <v>149483</v>
      </c>
      <c r="K79">
        <v>23404</v>
      </c>
      <c r="L79">
        <v>17186</v>
      </c>
      <c r="M79">
        <v>11599</v>
      </c>
      <c r="N79">
        <v>11189</v>
      </c>
      <c r="O79">
        <v>10602</v>
      </c>
      <c r="P79">
        <v>8874</v>
      </c>
      <c r="Q79">
        <v>6430</v>
      </c>
      <c r="R79">
        <v>4796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846654</v>
      </c>
    </row>
    <row r="80" spans="1:51" hidden="1" x14ac:dyDescent="0.2">
      <c r="A80" t="s">
        <v>4</v>
      </c>
      <c r="C80">
        <v>78</v>
      </c>
      <c r="D80">
        <v>12</v>
      </c>
      <c r="E80" t="s">
        <v>165</v>
      </c>
      <c r="F80">
        <v>2014</v>
      </c>
      <c r="H80">
        <v>355120</v>
      </c>
      <c r="I80">
        <v>314172</v>
      </c>
      <c r="J80">
        <v>107008</v>
      </c>
      <c r="K80">
        <v>19163</v>
      </c>
      <c r="L80">
        <v>15500</v>
      </c>
      <c r="M80">
        <v>14688</v>
      </c>
      <c r="N80">
        <v>9957</v>
      </c>
      <c r="O80">
        <v>9747</v>
      </c>
      <c r="P80">
        <v>6765</v>
      </c>
      <c r="Q80">
        <v>5099</v>
      </c>
      <c r="R80">
        <v>3217</v>
      </c>
      <c r="S80">
        <v>2818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863254</v>
      </c>
    </row>
    <row r="81" spans="1:51" hidden="1" x14ac:dyDescent="0.2">
      <c r="A81" t="s">
        <v>4</v>
      </c>
      <c r="C81">
        <v>79</v>
      </c>
      <c r="D81">
        <v>16</v>
      </c>
      <c r="E81" t="s">
        <v>166</v>
      </c>
      <c r="F81">
        <v>2014</v>
      </c>
      <c r="H81">
        <v>455652</v>
      </c>
      <c r="I81">
        <v>230152</v>
      </c>
      <c r="J81">
        <v>95790</v>
      </c>
      <c r="K81">
        <v>24399</v>
      </c>
      <c r="L81">
        <v>21045</v>
      </c>
      <c r="M81">
        <v>15047</v>
      </c>
      <c r="N81">
        <v>12688</v>
      </c>
      <c r="O81">
        <v>8957</v>
      </c>
      <c r="P81">
        <v>8896</v>
      </c>
      <c r="Q81">
        <v>7544</v>
      </c>
      <c r="R81">
        <v>6344</v>
      </c>
      <c r="S81">
        <v>4185</v>
      </c>
      <c r="T81">
        <v>3882</v>
      </c>
      <c r="U81">
        <v>3711</v>
      </c>
      <c r="V81">
        <v>3216</v>
      </c>
      <c r="W81">
        <v>3198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904706</v>
      </c>
    </row>
    <row r="82" spans="1:51" hidden="1" x14ac:dyDescent="0.2">
      <c r="A82" t="s">
        <v>4</v>
      </c>
      <c r="C82">
        <v>80</v>
      </c>
      <c r="D82">
        <v>20</v>
      </c>
      <c r="E82" t="s">
        <v>167</v>
      </c>
      <c r="F82">
        <v>2014</v>
      </c>
      <c r="H82">
        <v>317352</v>
      </c>
      <c r="I82">
        <v>256883</v>
      </c>
      <c r="J82">
        <v>119669</v>
      </c>
      <c r="K82">
        <v>53044</v>
      </c>
      <c r="L82">
        <v>15198</v>
      </c>
      <c r="M82">
        <v>12520</v>
      </c>
      <c r="N82">
        <v>11990</v>
      </c>
      <c r="O82">
        <v>8917</v>
      </c>
      <c r="P82">
        <v>7969</v>
      </c>
      <c r="Q82">
        <v>7810</v>
      </c>
      <c r="R82">
        <v>7661</v>
      </c>
      <c r="S82">
        <v>6967</v>
      </c>
      <c r="T82">
        <v>6171</v>
      </c>
      <c r="U82">
        <v>5669</v>
      </c>
      <c r="V82">
        <v>5631</v>
      </c>
      <c r="W82">
        <v>4201</v>
      </c>
      <c r="X82">
        <v>3152</v>
      </c>
      <c r="Y82">
        <v>3098</v>
      </c>
      <c r="Z82">
        <v>2536</v>
      </c>
      <c r="AA82">
        <v>2482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858920</v>
      </c>
    </row>
    <row r="83" spans="1:51" hidden="1" x14ac:dyDescent="0.2">
      <c r="A83" t="s">
        <v>4</v>
      </c>
      <c r="C83">
        <v>81</v>
      </c>
      <c r="D83">
        <v>13</v>
      </c>
      <c r="E83" t="s">
        <v>168</v>
      </c>
      <c r="F83">
        <v>2014</v>
      </c>
      <c r="H83">
        <v>270401</v>
      </c>
      <c r="I83">
        <v>263529</v>
      </c>
      <c r="J83">
        <v>200124</v>
      </c>
      <c r="K83">
        <v>29211</v>
      </c>
      <c r="L83">
        <v>15837</v>
      </c>
      <c r="M83">
        <v>13504</v>
      </c>
      <c r="N83">
        <v>12813</v>
      </c>
      <c r="O83">
        <v>12322</v>
      </c>
      <c r="P83">
        <v>11813</v>
      </c>
      <c r="Q83">
        <v>9954</v>
      </c>
      <c r="R83">
        <v>9665</v>
      </c>
      <c r="S83">
        <v>7423</v>
      </c>
      <c r="T83">
        <v>6603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863199</v>
      </c>
    </row>
    <row r="84" spans="1:51" hidden="1" x14ac:dyDescent="0.2">
      <c r="A84" t="s">
        <v>4</v>
      </c>
      <c r="C84">
        <v>82</v>
      </c>
      <c r="D84">
        <v>13</v>
      </c>
      <c r="E84" t="s">
        <v>169</v>
      </c>
      <c r="F84">
        <v>2014</v>
      </c>
      <c r="H84">
        <v>428227</v>
      </c>
      <c r="I84">
        <v>369892</v>
      </c>
      <c r="J84">
        <v>192639</v>
      </c>
      <c r="K84">
        <v>26622</v>
      </c>
      <c r="L84">
        <v>12143</v>
      </c>
      <c r="M84">
        <v>11144</v>
      </c>
      <c r="N84">
        <v>9014</v>
      </c>
      <c r="O84">
        <v>8639</v>
      </c>
      <c r="P84">
        <v>4858</v>
      </c>
      <c r="Q84">
        <v>4605</v>
      </c>
      <c r="R84">
        <v>3405</v>
      </c>
      <c r="S84">
        <v>3344</v>
      </c>
      <c r="T84">
        <v>3323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1077855</v>
      </c>
    </row>
    <row r="85" spans="1:51" hidden="1" x14ac:dyDescent="0.2">
      <c r="A85" t="s">
        <v>4</v>
      </c>
      <c r="C85">
        <v>83</v>
      </c>
      <c r="D85">
        <v>14</v>
      </c>
      <c r="E85" t="s">
        <v>170</v>
      </c>
      <c r="F85">
        <v>2014</v>
      </c>
      <c r="H85">
        <v>313806</v>
      </c>
      <c r="I85">
        <v>237803</v>
      </c>
      <c r="J85">
        <v>220316</v>
      </c>
      <c r="K85">
        <v>24490</v>
      </c>
      <c r="L85">
        <v>23868</v>
      </c>
      <c r="M85">
        <v>14926</v>
      </c>
      <c r="N85">
        <v>14491</v>
      </c>
      <c r="O85">
        <v>13888</v>
      </c>
      <c r="P85">
        <v>6651</v>
      </c>
      <c r="Q85">
        <v>6480</v>
      </c>
      <c r="R85">
        <v>5722</v>
      </c>
      <c r="S85">
        <v>5215</v>
      </c>
      <c r="T85">
        <v>4522</v>
      </c>
      <c r="U85">
        <v>4053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896231</v>
      </c>
    </row>
    <row r="86" spans="1:51" hidden="1" x14ac:dyDescent="0.2">
      <c r="A86" t="s">
        <v>4</v>
      </c>
      <c r="C86">
        <v>84</v>
      </c>
      <c r="D86">
        <v>19</v>
      </c>
      <c r="E86" t="s">
        <v>171</v>
      </c>
      <c r="F86">
        <v>2014</v>
      </c>
      <c r="H86">
        <v>367623</v>
      </c>
      <c r="I86">
        <v>358138</v>
      </c>
      <c r="J86">
        <v>132256</v>
      </c>
      <c r="K86">
        <v>18937</v>
      </c>
      <c r="L86">
        <v>12710</v>
      </c>
      <c r="M86">
        <v>11875</v>
      </c>
      <c r="N86">
        <v>11265</v>
      </c>
      <c r="O86">
        <v>9295</v>
      </c>
      <c r="P86">
        <v>8025</v>
      </c>
      <c r="Q86">
        <v>7122</v>
      </c>
      <c r="R86">
        <v>5830</v>
      </c>
      <c r="S86">
        <v>5778</v>
      </c>
      <c r="T86">
        <v>5165</v>
      </c>
      <c r="U86">
        <v>4734</v>
      </c>
      <c r="V86">
        <v>3444</v>
      </c>
      <c r="W86">
        <v>3251</v>
      </c>
      <c r="X86">
        <v>3147</v>
      </c>
      <c r="Y86">
        <v>3005</v>
      </c>
      <c r="Z86">
        <v>2416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974016</v>
      </c>
    </row>
    <row r="87" spans="1:51" hidden="1" x14ac:dyDescent="0.2">
      <c r="A87" t="s">
        <v>4</v>
      </c>
      <c r="C87">
        <v>85</v>
      </c>
      <c r="D87">
        <v>18</v>
      </c>
      <c r="E87" t="s">
        <v>172</v>
      </c>
      <c r="F87">
        <v>2014</v>
      </c>
      <c r="H87">
        <v>285150</v>
      </c>
      <c r="I87">
        <v>275006</v>
      </c>
      <c r="J87">
        <v>220708</v>
      </c>
      <c r="K87">
        <v>30814</v>
      </c>
      <c r="L87">
        <v>12871</v>
      </c>
      <c r="M87">
        <v>11520</v>
      </c>
      <c r="N87">
        <v>11056</v>
      </c>
      <c r="O87">
        <v>10558</v>
      </c>
      <c r="P87">
        <v>9753</v>
      </c>
      <c r="Q87">
        <v>6058</v>
      </c>
      <c r="R87">
        <v>4721</v>
      </c>
      <c r="S87">
        <v>4412</v>
      </c>
      <c r="T87">
        <v>4317</v>
      </c>
      <c r="U87">
        <v>2977</v>
      </c>
      <c r="V87">
        <v>2481</v>
      </c>
      <c r="W87">
        <v>2405</v>
      </c>
      <c r="X87">
        <v>2280</v>
      </c>
      <c r="Y87">
        <v>2266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899353</v>
      </c>
    </row>
    <row r="88" spans="1:51" hidden="1" x14ac:dyDescent="0.2">
      <c r="A88" t="s">
        <v>4</v>
      </c>
      <c r="C88">
        <v>86</v>
      </c>
      <c r="D88">
        <v>14</v>
      </c>
      <c r="E88" t="s">
        <v>173</v>
      </c>
      <c r="F88">
        <v>2014</v>
      </c>
      <c r="H88">
        <v>352911</v>
      </c>
      <c r="I88">
        <v>243827</v>
      </c>
      <c r="J88">
        <v>182971</v>
      </c>
      <c r="K88">
        <v>50469</v>
      </c>
      <c r="L88">
        <v>15420</v>
      </c>
      <c r="M88">
        <v>11225</v>
      </c>
      <c r="N88">
        <v>11122</v>
      </c>
      <c r="O88">
        <v>10264</v>
      </c>
      <c r="P88">
        <v>8112</v>
      </c>
      <c r="Q88">
        <v>7481</v>
      </c>
      <c r="R88">
        <v>6769</v>
      </c>
      <c r="S88">
        <v>5113</v>
      </c>
      <c r="T88">
        <v>4710</v>
      </c>
      <c r="U88">
        <v>3956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914350</v>
      </c>
    </row>
    <row r="89" spans="1:51" hidden="1" x14ac:dyDescent="0.2">
      <c r="A89" t="s">
        <v>4</v>
      </c>
      <c r="C89">
        <v>87</v>
      </c>
      <c r="D89">
        <v>23</v>
      </c>
      <c r="E89" t="s">
        <v>174</v>
      </c>
      <c r="F89">
        <v>2014</v>
      </c>
      <c r="H89">
        <v>321982</v>
      </c>
      <c r="I89">
        <v>312355</v>
      </c>
      <c r="J89">
        <v>127270</v>
      </c>
      <c r="K89">
        <v>23595</v>
      </c>
      <c r="L89">
        <v>19477</v>
      </c>
      <c r="M89">
        <v>18224</v>
      </c>
      <c r="N89">
        <v>15370</v>
      </c>
      <c r="O89">
        <v>13381</v>
      </c>
      <c r="P89">
        <v>8757</v>
      </c>
      <c r="Q89">
        <v>7472</v>
      </c>
      <c r="R89">
        <v>6788</v>
      </c>
      <c r="S89">
        <v>6346</v>
      </c>
      <c r="T89">
        <v>6048</v>
      </c>
      <c r="U89">
        <v>5452</v>
      </c>
      <c r="V89">
        <v>4613</v>
      </c>
      <c r="W89">
        <v>4600</v>
      </c>
      <c r="X89">
        <v>4236</v>
      </c>
      <c r="Y89">
        <v>3620</v>
      </c>
      <c r="Z89">
        <v>2779</v>
      </c>
      <c r="AA89">
        <v>2604</v>
      </c>
      <c r="AB89">
        <v>2342</v>
      </c>
      <c r="AC89">
        <v>2237</v>
      </c>
      <c r="AD89">
        <v>2213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921761</v>
      </c>
    </row>
    <row r="90" spans="1:51" hidden="1" x14ac:dyDescent="0.2">
      <c r="A90" t="s">
        <v>4</v>
      </c>
      <c r="C90">
        <v>88</v>
      </c>
      <c r="D90">
        <v>19</v>
      </c>
      <c r="E90" t="s">
        <v>175</v>
      </c>
      <c r="F90">
        <v>2014</v>
      </c>
      <c r="H90">
        <v>485905</v>
      </c>
      <c r="I90">
        <v>220100</v>
      </c>
      <c r="J90">
        <v>91024</v>
      </c>
      <c r="K90">
        <v>16381</v>
      </c>
      <c r="L90">
        <v>10836</v>
      </c>
      <c r="M90">
        <v>9691</v>
      </c>
      <c r="N90">
        <v>8834</v>
      </c>
      <c r="O90">
        <v>7727</v>
      </c>
      <c r="P90">
        <v>6057</v>
      </c>
      <c r="Q90">
        <v>3178</v>
      </c>
      <c r="R90">
        <v>3015</v>
      </c>
      <c r="S90">
        <v>2914</v>
      </c>
      <c r="T90">
        <v>2687</v>
      </c>
      <c r="U90">
        <v>2502</v>
      </c>
      <c r="V90">
        <v>2478</v>
      </c>
      <c r="W90">
        <v>2166</v>
      </c>
      <c r="X90">
        <v>1856</v>
      </c>
      <c r="Y90">
        <v>1834</v>
      </c>
      <c r="Z90">
        <v>0</v>
      </c>
      <c r="AA90">
        <v>1243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880428</v>
      </c>
    </row>
    <row r="91" spans="1:51" hidden="1" x14ac:dyDescent="0.2">
      <c r="A91" t="s">
        <v>4</v>
      </c>
      <c r="C91">
        <v>89</v>
      </c>
      <c r="D91">
        <v>21</v>
      </c>
      <c r="E91" t="s">
        <v>176</v>
      </c>
      <c r="F91">
        <v>2014</v>
      </c>
      <c r="H91">
        <v>383262</v>
      </c>
      <c r="I91">
        <v>342940</v>
      </c>
      <c r="J91">
        <v>97228</v>
      </c>
      <c r="K91">
        <v>51623</v>
      </c>
      <c r="L91">
        <v>17188</v>
      </c>
      <c r="M91">
        <v>16645</v>
      </c>
      <c r="N91">
        <v>8184</v>
      </c>
      <c r="O91">
        <v>8084</v>
      </c>
      <c r="P91">
        <v>6269</v>
      </c>
      <c r="Q91">
        <v>5854</v>
      </c>
      <c r="R91">
        <v>5637</v>
      </c>
      <c r="S91">
        <v>5412</v>
      </c>
      <c r="T91">
        <v>4804</v>
      </c>
      <c r="U91">
        <v>4678</v>
      </c>
      <c r="V91">
        <v>4555</v>
      </c>
      <c r="W91">
        <v>4302</v>
      </c>
      <c r="X91">
        <v>3015</v>
      </c>
      <c r="Y91">
        <v>2520</v>
      </c>
      <c r="Z91">
        <v>2484</v>
      </c>
      <c r="AA91">
        <v>2268</v>
      </c>
      <c r="AB91">
        <v>1697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978649</v>
      </c>
    </row>
    <row r="92" spans="1:51" hidden="1" x14ac:dyDescent="0.2">
      <c r="A92" t="s">
        <v>4</v>
      </c>
      <c r="C92">
        <v>90</v>
      </c>
      <c r="D92">
        <v>13</v>
      </c>
      <c r="E92" t="s">
        <v>177</v>
      </c>
      <c r="F92">
        <v>2014</v>
      </c>
      <c r="H92">
        <v>391074</v>
      </c>
      <c r="I92">
        <v>255204</v>
      </c>
      <c r="J92">
        <v>98805</v>
      </c>
      <c r="K92">
        <v>75962</v>
      </c>
      <c r="L92">
        <v>14703</v>
      </c>
      <c r="M92">
        <v>10950</v>
      </c>
      <c r="N92">
        <v>7637</v>
      </c>
      <c r="O92">
        <v>7518</v>
      </c>
      <c r="P92">
        <v>7305</v>
      </c>
      <c r="Q92">
        <v>6886</v>
      </c>
      <c r="R92">
        <v>5879</v>
      </c>
      <c r="S92">
        <v>5680</v>
      </c>
      <c r="T92">
        <v>5610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893213</v>
      </c>
    </row>
    <row r="93" spans="1:51" hidden="1" x14ac:dyDescent="0.2">
      <c r="A93" t="s">
        <v>4</v>
      </c>
      <c r="C93">
        <v>91</v>
      </c>
      <c r="D93">
        <v>17</v>
      </c>
      <c r="E93" t="s">
        <v>178</v>
      </c>
      <c r="F93">
        <v>2014</v>
      </c>
      <c r="H93">
        <v>319012</v>
      </c>
      <c r="I93">
        <v>186674</v>
      </c>
      <c r="J93">
        <v>184788</v>
      </c>
      <c r="K93">
        <v>117012</v>
      </c>
      <c r="L93">
        <v>13051</v>
      </c>
      <c r="M93">
        <v>12422</v>
      </c>
      <c r="N93">
        <v>9179</v>
      </c>
      <c r="O93">
        <v>7879</v>
      </c>
      <c r="P93">
        <v>7514</v>
      </c>
      <c r="Q93">
        <v>6901</v>
      </c>
      <c r="R93">
        <v>6130</v>
      </c>
      <c r="S93">
        <v>5294</v>
      </c>
      <c r="T93">
        <v>3437</v>
      </c>
      <c r="U93">
        <v>2740</v>
      </c>
      <c r="V93">
        <v>2241</v>
      </c>
      <c r="W93">
        <v>2066</v>
      </c>
      <c r="X93">
        <v>1864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888204</v>
      </c>
    </row>
    <row r="94" spans="1:51" hidden="1" x14ac:dyDescent="0.2">
      <c r="A94" t="s">
        <v>4</v>
      </c>
      <c r="C94">
        <v>92</v>
      </c>
      <c r="D94">
        <v>12</v>
      </c>
      <c r="E94" t="s">
        <v>179</v>
      </c>
      <c r="F94">
        <v>2014</v>
      </c>
      <c r="H94">
        <v>366087</v>
      </c>
      <c r="I94">
        <v>302760</v>
      </c>
      <c r="J94">
        <v>93310</v>
      </c>
      <c r="K94">
        <v>31528</v>
      </c>
      <c r="L94">
        <v>13379</v>
      </c>
      <c r="M94">
        <v>11005</v>
      </c>
      <c r="N94">
        <v>7486</v>
      </c>
      <c r="O94">
        <v>6144</v>
      </c>
      <c r="P94">
        <v>4395</v>
      </c>
      <c r="Q94">
        <v>3980</v>
      </c>
      <c r="R94">
        <v>3906</v>
      </c>
      <c r="S94">
        <v>2808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846788</v>
      </c>
    </row>
    <row r="95" spans="1:51" hidden="1" x14ac:dyDescent="0.2">
      <c r="A95" t="s">
        <v>4</v>
      </c>
      <c r="C95">
        <v>93</v>
      </c>
      <c r="D95">
        <v>16</v>
      </c>
      <c r="E95" t="s">
        <v>180</v>
      </c>
      <c r="F95">
        <v>2014</v>
      </c>
      <c r="H95">
        <v>338892</v>
      </c>
      <c r="I95">
        <v>233651</v>
      </c>
      <c r="J95">
        <v>76709</v>
      </c>
      <c r="K95">
        <v>45503</v>
      </c>
      <c r="L95">
        <v>32686</v>
      </c>
      <c r="M95">
        <v>10185</v>
      </c>
      <c r="N95">
        <v>9919</v>
      </c>
      <c r="O95">
        <v>6994</v>
      </c>
      <c r="P95">
        <v>6974</v>
      </c>
      <c r="Q95">
        <v>6938</v>
      </c>
      <c r="R95">
        <v>5459</v>
      </c>
      <c r="S95">
        <v>4795</v>
      </c>
      <c r="T95">
        <v>4002</v>
      </c>
      <c r="U95">
        <v>2813</v>
      </c>
      <c r="V95">
        <v>2359</v>
      </c>
      <c r="W95">
        <v>2048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789927</v>
      </c>
    </row>
    <row r="96" spans="1:51" hidden="1" x14ac:dyDescent="0.2">
      <c r="A96" t="s">
        <v>4</v>
      </c>
      <c r="C96">
        <v>94</v>
      </c>
      <c r="D96">
        <v>16</v>
      </c>
      <c r="E96" t="s">
        <v>181</v>
      </c>
      <c r="F96">
        <v>2014</v>
      </c>
      <c r="H96">
        <v>322647</v>
      </c>
      <c r="I96">
        <v>280307</v>
      </c>
      <c r="J96">
        <v>100851</v>
      </c>
      <c r="K96">
        <v>34365</v>
      </c>
      <c r="L96">
        <v>10625</v>
      </c>
      <c r="M96">
        <v>10580</v>
      </c>
      <c r="N96">
        <v>10352</v>
      </c>
      <c r="O96">
        <v>8874</v>
      </c>
      <c r="P96">
        <v>7757</v>
      </c>
      <c r="Q96">
        <v>6041</v>
      </c>
      <c r="R96">
        <v>4202</v>
      </c>
      <c r="S96">
        <v>3711</v>
      </c>
      <c r="T96">
        <v>3521</v>
      </c>
      <c r="U96">
        <v>2826</v>
      </c>
      <c r="V96">
        <v>2721</v>
      </c>
      <c r="W96">
        <v>2136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811516</v>
      </c>
    </row>
    <row r="97" spans="1:51" hidden="1" x14ac:dyDescent="0.2">
      <c r="A97" t="s">
        <v>4</v>
      </c>
      <c r="C97">
        <v>95</v>
      </c>
      <c r="D97">
        <v>14</v>
      </c>
      <c r="E97" t="s">
        <v>182</v>
      </c>
      <c r="F97">
        <v>2014</v>
      </c>
      <c r="H97">
        <v>307941</v>
      </c>
      <c r="I97">
        <v>241594</v>
      </c>
      <c r="J97">
        <v>136137</v>
      </c>
      <c r="K97">
        <v>27833</v>
      </c>
      <c r="L97">
        <v>17454</v>
      </c>
      <c r="M97">
        <v>9255</v>
      </c>
      <c r="N97">
        <v>8678</v>
      </c>
      <c r="O97">
        <v>7195</v>
      </c>
      <c r="P97">
        <v>6703</v>
      </c>
      <c r="Q97">
        <v>6121</v>
      </c>
      <c r="R97">
        <v>5726</v>
      </c>
      <c r="S97">
        <v>4608</v>
      </c>
      <c r="T97">
        <v>3696</v>
      </c>
      <c r="U97">
        <v>3333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786274</v>
      </c>
    </row>
    <row r="98" spans="1:51" hidden="1" x14ac:dyDescent="0.2">
      <c r="A98" t="s">
        <v>4</v>
      </c>
      <c r="C98">
        <v>96</v>
      </c>
      <c r="D98">
        <v>14</v>
      </c>
      <c r="E98" t="s">
        <v>183</v>
      </c>
      <c r="F98">
        <v>2014</v>
      </c>
      <c r="H98">
        <v>326230</v>
      </c>
      <c r="I98">
        <v>210726</v>
      </c>
      <c r="J98">
        <v>131828</v>
      </c>
      <c r="K98">
        <v>36863</v>
      </c>
      <c r="L98">
        <v>19651</v>
      </c>
      <c r="M98">
        <v>19030</v>
      </c>
      <c r="N98">
        <v>16028</v>
      </c>
      <c r="O98">
        <v>9004</v>
      </c>
      <c r="P98">
        <v>7624</v>
      </c>
      <c r="Q98">
        <v>7549</v>
      </c>
      <c r="R98">
        <v>7312</v>
      </c>
      <c r="S98">
        <v>6065</v>
      </c>
      <c r="T98">
        <v>5924</v>
      </c>
      <c r="U98">
        <v>5544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809378</v>
      </c>
    </row>
    <row r="99" spans="1:51" hidden="1" x14ac:dyDescent="0.2">
      <c r="A99" t="s">
        <v>4</v>
      </c>
      <c r="C99">
        <v>97</v>
      </c>
      <c r="D99">
        <v>18</v>
      </c>
      <c r="E99" t="s">
        <v>184</v>
      </c>
      <c r="F99">
        <v>2014</v>
      </c>
      <c r="H99">
        <v>390248</v>
      </c>
      <c r="I99">
        <v>250091</v>
      </c>
      <c r="J99">
        <v>168217</v>
      </c>
      <c r="K99">
        <v>12072</v>
      </c>
      <c r="L99">
        <v>7997</v>
      </c>
      <c r="M99">
        <v>7489</v>
      </c>
      <c r="N99">
        <v>7324</v>
      </c>
      <c r="O99">
        <v>6736</v>
      </c>
      <c r="P99">
        <v>6443</v>
      </c>
      <c r="Q99">
        <v>4057</v>
      </c>
      <c r="R99">
        <v>3743</v>
      </c>
      <c r="S99">
        <v>3612</v>
      </c>
      <c r="T99">
        <v>3568</v>
      </c>
      <c r="U99">
        <v>3291</v>
      </c>
      <c r="V99">
        <v>3138</v>
      </c>
      <c r="W99">
        <v>2596</v>
      </c>
      <c r="X99">
        <v>2169</v>
      </c>
      <c r="Y99">
        <v>1650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884441</v>
      </c>
    </row>
    <row r="100" spans="1:51" hidden="1" x14ac:dyDescent="0.2">
      <c r="A100" t="s">
        <v>4</v>
      </c>
      <c r="C100">
        <v>98</v>
      </c>
      <c r="D100">
        <v>12</v>
      </c>
      <c r="E100" t="s">
        <v>185</v>
      </c>
      <c r="F100">
        <v>2014</v>
      </c>
      <c r="H100">
        <v>285354</v>
      </c>
      <c r="I100">
        <v>199407</v>
      </c>
      <c r="J100">
        <v>198599</v>
      </c>
      <c r="K100">
        <v>19517</v>
      </c>
      <c r="L100">
        <v>15008</v>
      </c>
      <c r="M100">
        <v>10748</v>
      </c>
      <c r="N100">
        <v>10452</v>
      </c>
      <c r="O100">
        <v>8360</v>
      </c>
      <c r="P100">
        <v>7635</v>
      </c>
      <c r="Q100">
        <v>7159</v>
      </c>
      <c r="R100">
        <v>7147</v>
      </c>
      <c r="S100">
        <v>6253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775639</v>
      </c>
    </row>
    <row r="101" spans="1:51" hidden="1" x14ac:dyDescent="0.2">
      <c r="A101" t="s">
        <v>5</v>
      </c>
      <c r="C101">
        <v>99</v>
      </c>
      <c r="D101">
        <v>8</v>
      </c>
      <c r="E101" t="s">
        <v>186</v>
      </c>
      <c r="F101">
        <v>2014</v>
      </c>
      <c r="H101">
        <v>237903</v>
      </c>
      <c r="I101">
        <v>132304</v>
      </c>
      <c r="J101">
        <v>15857</v>
      </c>
      <c r="K101">
        <v>5770</v>
      </c>
      <c r="L101">
        <v>5640</v>
      </c>
      <c r="M101">
        <v>4128</v>
      </c>
      <c r="N101">
        <v>3216</v>
      </c>
      <c r="O101">
        <v>1813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406631</v>
      </c>
    </row>
    <row r="102" spans="1:51" hidden="1" x14ac:dyDescent="0.2">
      <c r="A102" t="s">
        <v>5</v>
      </c>
      <c r="C102">
        <v>100</v>
      </c>
      <c r="D102">
        <v>13</v>
      </c>
      <c r="E102" t="s">
        <v>187</v>
      </c>
      <c r="F102">
        <v>2014</v>
      </c>
      <c r="H102">
        <v>198776</v>
      </c>
      <c r="I102">
        <v>166446</v>
      </c>
      <c r="J102">
        <v>11941</v>
      </c>
      <c r="K102">
        <v>11246</v>
      </c>
      <c r="L102">
        <v>7152</v>
      </c>
      <c r="M102">
        <v>4437</v>
      </c>
      <c r="N102">
        <v>4333</v>
      </c>
      <c r="O102">
        <v>2586</v>
      </c>
      <c r="P102">
        <v>790</v>
      </c>
      <c r="Q102">
        <v>783</v>
      </c>
      <c r="R102">
        <v>683</v>
      </c>
      <c r="S102">
        <v>666</v>
      </c>
      <c r="T102">
        <v>530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410369</v>
      </c>
    </row>
    <row r="103" spans="1:51" hidden="1" x14ac:dyDescent="0.2">
      <c r="A103" t="s">
        <v>6</v>
      </c>
      <c r="C103">
        <v>101</v>
      </c>
      <c r="D103">
        <v>6</v>
      </c>
      <c r="E103" t="s">
        <v>188</v>
      </c>
      <c r="F103">
        <v>2014</v>
      </c>
      <c r="H103">
        <v>562855</v>
      </c>
      <c r="I103">
        <v>308373</v>
      </c>
      <c r="J103">
        <v>21230</v>
      </c>
      <c r="K103">
        <v>21106</v>
      </c>
      <c r="L103">
        <v>16879</v>
      </c>
      <c r="M103">
        <v>15797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946240</v>
      </c>
    </row>
    <row r="104" spans="1:51" hidden="1" x14ac:dyDescent="0.2">
      <c r="A104" t="s">
        <v>6</v>
      </c>
      <c r="C104">
        <v>102</v>
      </c>
      <c r="D104">
        <v>15</v>
      </c>
      <c r="E104" t="s">
        <v>189</v>
      </c>
      <c r="F104">
        <v>2014</v>
      </c>
      <c r="H104">
        <v>507856</v>
      </c>
      <c r="I104">
        <v>305522</v>
      </c>
      <c r="J104">
        <v>17397</v>
      </c>
      <c r="K104">
        <v>11175</v>
      </c>
      <c r="L104">
        <v>10897</v>
      </c>
      <c r="M104">
        <v>7207</v>
      </c>
      <c r="N104">
        <v>6571</v>
      </c>
      <c r="O104">
        <v>5388</v>
      </c>
      <c r="P104">
        <v>3302</v>
      </c>
      <c r="Q104">
        <v>2535</v>
      </c>
      <c r="R104">
        <v>2118</v>
      </c>
      <c r="S104">
        <v>2064</v>
      </c>
      <c r="T104">
        <v>2007</v>
      </c>
      <c r="U104">
        <v>1770</v>
      </c>
      <c r="V104">
        <v>825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886634</v>
      </c>
    </row>
    <row r="105" spans="1:51" hidden="1" x14ac:dyDescent="0.2">
      <c r="A105" t="s">
        <v>6</v>
      </c>
      <c r="C105">
        <v>103</v>
      </c>
      <c r="D105">
        <v>15</v>
      </c>
      <c r="E105" t="s">
        <v>190</v>
      </c>
      <c r="F105">
        <v>2014</v>
      </c>
      <c r="H105">
        <v>518538</v>
      </c>
      <c r="I105">
        <v>379819</v>
      </c>
      <c r="J105">
        <v>12061</v>
      </c>
      <c r="K105">
        <v>9900</v>
      </c>
      <c r="L105">
        <v>7492</v>
      </c>
      <c r="M105">
        <v>6188</v>
      </c>
      <c r="N105">
        <v>5629</v>
      </c>
      <c r="O105">
        <v>2760</v>
      </c>
      <c r="P105">
        <v>2550</v>
      </c>
      <c r="Q105">
        <v>2539</v>
      </c>
      <c r="R105">
        <v>1978</v>
      </c>
      <c r="S105">
        <v>1843</v>
      </c>
      <c r="T105">
        <v>1840</v>
      </c>
      <c r="U105">
        <v>1752</v>
      </c>
      <c r="V105">
        <v>910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955799</v>
      </c>
    </row>
    <row r="106" spans="1:51" hidden="1" x14ac:dyDescent="0.2">
      <c r="A106" t="s">
        <v>6</v>
      </c>
      <c r="C106">
        <v>104</v>
      </c>
      <c r="D106">
        <v>15</v>
      </c>
      <c r="E106" t="s">
        <v>191</v>
      </c>
      <c r="F106">
        <v>2014</v>
      </c>
      <c r="H106">
        <v>580250</v>
      </c>
      <c r="I106">
        <v>371359</v>
      </c>
      <c r="J106">
        <v>11615</v>
      </c>
      <c r="K106">
        <v>9766</v>
      </c>
      <c r="L106">
        <v>6139</v>
      </c>
      <c r="M106">
        <v>5982</v>
      </c>
      <c r="N106">
        <v>4825</v>
      </c>
      <c r="O106">
        <v>3731</v>
      </c>
      <c r="P106">
        <v>2427</v>
      </c>
      <c r="Q106">
        <v>1804</v>
      </c>
      <c r="R106">
        <v>1653</v>
      </c>
      <c r="S106">
        <v>1340</v>
      </c>
      <c r="T106">
        <v>1251</v>
      </c>
      <c r="U106">
        <v>1084</v>
      </c>
      <c r="V106">
        <v>1032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1004258</v>
      </c>
    </row>
    <row r="107" spans="1:51" hidden="1" x14ac:dyDescent="0.2">
      <c r="A107" t="s">
        <v>6</v>
      </c>
      <c r="C107">
        <v>105</v>
      </c>
      <c r="D107">
        <v>11</v>
      </c>
      <c r="E107" t="s">
        <v>192</v>
      </c>
      <c r="F107">
        <v>2014</v>
      </c>
      <c r="H107">
        <v>552205</v>
      </c>
      <c r="I107">
        <v>467750</v>
      </c>
      <c r="J107">
        <v>22334</v>
      </c>
      <c r="K107">
        <v>16665</v>
      </c>
      <c r="L107">
        <v>9795</v>
      </c>
      <c r="M107">
        <v>9046</v>
      </c>
      <c r="N107">
        <v>6816</v>
      </c>
      <c r="O107">
        <v>3527</v>
      </c>
      <c r="P107">
        <v>2314</v>
      </c>
      <c r="Q107">
        <v>1876</v>
      </c>
      <c r="R107">
        <v>1674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1094002</v>
      </c>
    </row>
    <row r="108" spans="1:51" hidden="1" x14ac:dyDescent="0.2">
      <c r="A108" t="s">
        <v>6</v>
      </c>
      <c r="C108">
        <v>106</v>
      </c>
      <c r="D108">
        <v>19</v>
      </c>
      <c r="E108" t="s">
        <v>193</v>
      </c>
      <c r="F108">
        <v>2014</v>
      </c>
      <c r="H108">
        <v>773539</v>
      </c>
      <c r="I108">
        <v>290418</v>
      </c>
      <c r="J108">
        <v>19966</v>
      </c>
      <c r="K108">
        <v>12777</v>
      </c>
      <c r="L108">
        <v>9767</v>
      </c>
      <c r="M108">
        <v>6705</v>
      </c>
      <c r="N108">
        <v>6068</v>
      </c>
      <c r="O108">
        <v>3767</v>
      </c>
      <c r="P108">
        <v>3177</v>
      </c>
      <c r="Q108">
        <v>1639</v>
      </c>
      <c r="R108">
        <v>1474</v>
      </c>
      <c r="S108">
        <v>984</v>
      </c>
      <c r="T108">
        <v>924</v>
      </c>
      <c r="U108">
        <v>809</v>
      </c>
      <c r="V108">
        <v>793</v>
      </c>
      <c r="W108">
        <v>684</v>
      </c>
      <c r="X108">
        <v>683</v>
      </c>
      <c r="Y108">
        <v>668</v>
      </c>
      <c r="Z108">
        <v>653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1135495</v>
      </c>
    </row>
    <row r="109" spans="1:51" hidden="1" x14ac:dyDescent="0.2">
      <c r="A109" t="s">
        <v>6</v>
      </c>
      <c r="C109">
        <v>107</v>
      </c>
      <c r="D109">
        <v>15</v>
      </c>
      <c r="E109" t="s">
        <v>618</v>
      </c>
      <c r="F109">
        <v>2014</v>
      </c>
      <c r="H109">
        <v>633582</v>
      </c>
      <c r="I109">
        <v>306949</v>
      </c>
      <c r="J109">
        <v>14358</v>
      </c>
      <c r="K109">
        <v>11349</v>
      </c>
      <c r="L109">
        <v>6023</v>
      </c>
      <c r="M109">
        <v>4046</v>
      </c>
      <c r="N109">
        <v>2299</v>
      </c>
      <c r="O109">
        <v>1201</v>
      </c>
      <c r="P109">
        <v>1094</v>
      </c>
      <c r="Q109">
        <v>987</v>
      </c>
      <c r="R109">
        <v>895</v>
      </c>
      <c r="S109">
        <v>782</v>
      </c>
      <c r="T109">
        <v>704</v>
      </c>
      <c r="U109">
        <v>698</v>
      </c>
      <c r="V109">
        <v>558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985525</v>
      </c>
    </row>
    <row r="110" spans="1:51" hidden="1" x14ac:dyDescent="0.2">
      <c r="A110" t="s">
        <v>6</v>
      </c>
      <c r="C110">
        <v>108</v>
      </c>
      <c r="D110">
        <v>12</v>
      </c>
      <c r="E110" t="s">
        <v>194</v>
      </c>
      <c r="F110">
        <v>2014</v>
      </c>
      <c r="H110">
        <v>617104</v>
      </c>
      <c r="I110">
        <v>296793</v>
      </c>
      <c r="J110">
        <v>17332</v>
      </c>
      <c r="K110">
        <v>16571</v>
      </c>
      <c r="L110">
        <v>6205</v>
      </c>
      <c r="M110">
        <v>2837</v>
      </c>
      <c r="N110">
        <v>2564</v>
      </c>
      <c r="O110">
        <v>1391</v>
      </c>
      <c r="P110">
        <v>1256</v>
      </c>
      <c r="Q110">
        <v>941</v>
      </c>
      <c r="R110">
        <v>808</v>
      </c>
      <c r="S110">
        <v>807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964609</v>
      </c>
    </row>
    <row r="111" spans="1:51" hidden="1" x14ac:dyDescent="0.2">
      <c r="A111" t="s">
        <v>6</v>
      </c>
      <c r="C111">
        <v>109</v>
      </c>
      <c r="D111">
        <v>18</v>
      </c>
      <c r="E111" t="s">
        <v>195</v>
      </c>
      <c r="F111">
        <v>2014</v>
      </c>
      <c r="H111">
        <v>529003</v>
      </c>
      <c r="I111">
        <v>326096</v>
      </c>
      <c r="J111">
        <v>14515</v>
      </c>
      <c r="K111">
        <v>13375</v>
      </c>
      <c r="L111">
        <v>11216</v>
      </c>
      <c r="M111">
        <v>11029</v>
      </c>
      <c r="N111">
        <v>10753</v>
      </c>
      <c r="O111">
        <v>6439</v>
      </c>
      <c r="P111">
        <v>4818</v>
      </c>
      <c r="Q111">
        <v>3102</v>
      </c>
      <c r="R111">
        <v>2968</v>
      </c>
      <c r="S111">
        <v>2251</v>
      </c>
      <c r="T111">
        <v>2154</v>
      </c>
      <c r="U111">
        <v>1751</v>
      </c>
      <c r="V111">
        <v>1413</v>
      </c>
      <c r="W111">
        <v>1341</v>
      </c>
      <c r="X111">
        <v>1227</v>
      </c>
      <c r="Y111">
        <v>1226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944677</v>
      </c>
    </row>
    <row r="112" spans="1:51" hidden="1" x14ac:dyDescent="0.2">
      <c r="A112" t="s">
        <v>6</v>
      </c>
      <c r="C112">
        <v>110</v>
      </c>
      <c r="D112">
        <v>16</v>
      </c>
      <c r="E112" t="s">
        <v>196</v>
      </c>
      <c r="F112">
        <v>2014</v>
      </c>
      <c r="H112">
        <v>621524</v>
      </c>
      <c r="I112">
        <v>375096</v>
      </c>
      <c r="J112">
        <v>18249</v>
      </c>
      <c r="K112">
        <v>12653</v>
      </c>
      <c r="L112">
        <v>10785</v>
      </c>
      <c r="M112">
        <v>5752</v>
      </c>
      <c r="N112">
        <v>2076</v>
      </c>
      <c r="O112">
        <v>1636</v>
      </c>
      <c r="P112">
        <v>1562</v>
      </c>
      <c r="Q112">
        <v>1408</v>
      </c>
      <c r="R112">
        <v>1344</v>
      </c>
      <c r="S112">
        <v>1161</v>
      </c>
      <c r="T112">
        <v>1080</v>
      </c>
      <c r="U112">
        <v>990</v>
      </c>
      <c r="V112">
        <v>945</v>
      </c>
      <c r="W112">
        <v>808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1057069</v>
      </c>
    </row>
    <row r="113" spans="1:51" hidden="1" x14ac:dyDescent="0.2">
      <c r="A113" t="s">
        <v>6</v>
      </c>
      <c r="C113">
        <v>111</v>
      </c>
      <c r="D113">
        <v>15</v>
      </c>
      <c r="E113" t="s">
        <v>197</v>
      </c>
      <c r="F113">
        <v>2014</v>
      </c>
      <c r="H113">
        <v>508437</v>
      </c>
      <c r="I113">
        <v>240466</v>
      </c>
      <c r="J113">
        <v>16443</v>
      </c>
      <c r="K113">
        <v>12180</v>
      </c>
      <c r="L113">
        <v>7939</v>
      </c>
      <c r="M113">
        <v>4475</v>
      </c>
      <c r="N113">
        <v>3825</v>
      </c>
      <c r="O113">
        <v>3009</v>
      </c>
      <c r="P113">
        <v>2868</v>
      </c>
      <c r="Q113">
        <v>2205</v>
      </c>
      <c r="R113">
        <v>1704</v>
      </c>
      <c r="S113">
        <v>1671</v>
      </c>
      <c r="T113">
        <v>1618</v>
      </c>
      <c r="U113">
        <v>1569</v>
      </c>
      <c r="V113">
        <v>1024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809433</v>
      </c>
    </row>
    <row r="114" spans="1:51" hidden="1" x14ac:dyDescent="0.2">
      <c r="A114" t="s">
        <v>6</v>
      </c>
      <c r="C114">
        <v>112</v>
      </c>
      <c r="D114">
        <v>26</v>
      </c>
      <c r="E114" t="s">
        <v>198</v>
      </c>
      <c r="F114">
        <v>2014</v>
      </c>
      <c r="H114">
        <v>484412</v>
      </c>
      <c r="I114">
        <v>309123</v>
      </c>
      <c r="J114">
        <v>8596</v>
      </c>
      <c r="K114">
        <v>8234</v>
      </c>
      <c r="L114">
        <v>6588</v>
      </c>
      <c r="M114">
        <v>5811</v>
      </c>
      <c r="N114">
        <v>4911</v>
      </c>
      <c r="O114">
        <v>3946</v>
      </c>
      <c r="P114">
        <v>3667</v>
      </c>
      <c r="Q114">
        <v>1811</v>
      </c>
      <c r="R114">
        <v>1541</v>
      </c>
      <c r="S114">
        <v>1377</v>
      </c>
      <c r="T114">
        <v>1254</v>
      </c>
      <c r="U114">
        <v>1247</v>
      </c>
      <c r="V114">
        <v>1188</v>
      </c>
      <c r="W114">
        <v>1043</v>
      </c>
      <c r="X114">
        <v>940</v>
      </c>
      <c r="Y114">
        <v>885</v>
      </c>
      <c r="Z114">
        <v>876</v>
      </c>
      <c r="AA114">
        <v>819</v>
      </c>
      <c r="AB114">
        <v>795</v>
      </c>
      <c r="AC114">
        <v>777</v>
      </c>
      <c r="AD114">
        <v>760</v>
      </c>
      <c r="AE114">
        <v>744</v>
      </c>
      <c r="AF114">
        <v>706</v>
      </c>
      <c r="AG114">
        <v>592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852643</v>
      </c>
    </row>
    <row r="115" spans="1:51" hidden="1" x14ac:dyDescent="0.2">
      <c r="A115" t="s">
        <v>6</v>
      </c>
      <c r="C115">
        <v>113</v>
      </c>
      <c r="D115">
        <v>9</v>
      </c>
      <c r="E115" t="s">
        <v>199</v>
      </c>
      <c r="F115">
        <v>2014</v>
      </c>
      <c r="H115">
        <v>513179</v>
      </c>
      <c r="I115">
        <v>377347</v>
      </c>
      <c r="J115">
        <v>17022</v>
      </c>
      <c r="K115">
        <v>16674</v>
      </c>
      <c r="L115">
        <v>7574</v>
      </c>
      <c r="M115">
        <v>2717</v>
      </c>
      <c r="N115">
        <v>2565</v>
      </c>
      <c r="O115">
        <v>2409</v>
      </c>
      <c r="P115">
        <v>1891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941378</v>
      </c>
    </row>
    <row r="116" spans="1:51" hidden="1" x14ac:dyDescent="0.2">
      <c r="A116" t="s">
        <v>6</v>
      </c>
      <c r="C116">
        <v>114</v>
      </c>
      <c r="D116">
        <v>15</v>
      </c>
      <c r="E116" t="s">
        <v>200</v>
      </c>
      <c r="F116">
        <v>2014</v>
      </c>
      <c r="H116">
        <v>436715</v>
      </c>
      <c r="I116">
        <v>280483</v>
      </c>
      <c r="J116">
        <v>19143</v>
      </c>
      <c r="K116">
        <v>15520</v>
      </c>
      <c r="L116">
        <v>13803</v>
      </c>
      <c r="M116">
        <v>10114</v>
      </c>
      <c r="N116">
        <v>8167</v>
      </c>
      <c r="O116">
        <v>7822</v>
      </c>
      <c r="P116">
        <v>4032</v>
      </c>
      <c r="Q116">
        <v>3439</v>
      </c>
      <c r="R116">
        <v>2216</v>
      </c>
      <c r="S116">
        <v>2062</v>
      </c>
      <c r="T116">
        <v>1938</v>
      </c>
      <c r="U116">
        <v>1809</v>
      </c>
      <c r="V116">
        <v>1553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808816</v>
      </c>
    </row>
    <row r="117" spans="1:51" hidden="1" x14ac:dyDescent="0.2">
      <c r="A117" t="s">
        <v>6</v>
      </c>
      <c r="C117">
        <v>115</v>
      </c>
      <c r="D117">
        <v>17</v>
      </c>
      <c r="E117" t="s">
        <v>201</v>
      </c>
      <c r="F117">
        <v>2014</v>
      </c>
      <c r="H117">
        <v>549529</v>
      </c>
      <c r="I117">
        <v>254041</v>
      </c>
      <c r="J117">
        <v>49540</v>
      </c>
      <c r="K117">
        <v>9590</v>
      </c>
      <c r="L117">
        <v>9345</v>
      </c>
      <c r="M117">
        <v>9113</v>
      </c>
      <c r="N117">
        <v>7550</v>
      </c>
      <c r="O117">
        <v>5912</v>
      </c>
      <c r="P117">
        <v>5530</v>
      </c>
      <c r="Q117">
        <v>3542</v>
      </c>
      <c r="R117">
        <v>2707</v>
      </c>
      <c r="S117">
        <v>2276</v>
      </c>
      <c r="T117">
        <v>2257</v>
      </c>
      <c r="U117">
        <v>1852</v>
      </c>
      <c r="V117">
        <v>1734</v>
      </c>
      <c r="W117">
        <v>1525</v>
      </c>
      <c r="X117">
        <v>1359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917402</v>
      </c>
    </row>
    <row r="118" spans="1:51" hidden="1" x14ac:dyDescent="0.2">
      <c r="A118" t="s">
        <v>6</v>
      </c>
      <c r="C118">
        <v>116</v>
      </c>
      <c r="D118">
        <v>16</v>
      </c>
      <c r="E118" t="s">
        <v>202</v>
      </c>
      <c r="F118">
        <v>2014</v>
      </c>
      <c r="H118">
        <v>490829</v>
      </c>
      <c r="I118">
        <v>427403</v>
      </c>
      <c r="J118">
        <v>16872</v>
      </c>
      <c r="K118">
        <v>6689</v>
      </c>
      <c r="L118">
        <v>6480</v>
      </c>
      <c r="M118">
        <v>4022</v>
      </c>
      <c r="N118">
        <v>4003</v>
      </c>
      <c r="O118">
        <v>2975</v>
      </c>
      <c r="P118">
        <v>2442</v>
      </c>
      <c r="Q118">
        <v>1790</v>
      </c>
      <c r="R118">
        <v>1466</v>
      </c>
      <c r="S118">
        <v>1459</v>
      </c>
      <c r="T118">
        <v>1265</v>
      </c>
      <c r="U118">
        <v>1260</v>
      </c>
      <c r="V118">
        <v>1063</v>
      </c>
      <c r="W118">
        <v>876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970894</v>
      </c>
    </row>
    <row r="119" spans="1:51" hidden="1" x14ac:dyDescent="0.2">
      <c r="A119" t="s">
        <v>6</v>
      </c>
      <c r="C119">
        <v>117</v>
      </c>
      <c r="D119">
        <v>16</v>
      </c>
      <c r="E119" t="s">
        <v>203</v>
      </c>
      <c r="F119">
        <v>2014</v>
      </c>
      <c r="H119">
        <v>568235</v>
      </c>
      <c r="I119">
        <v>335334</v>
      </c>
      <c r="J119">
        <v>20333</v>
      </c>
      <c r="K119">
        <v>7442</v>
      </c>
      <c r="L119">
        <v>5791</v>
      </c>
      <c r="M119">
        <v>3742</v>
      </c>
      <c r="N119">
        <v>3495</v>
      </c>
      <c r="O119">
        <v>2720</v>
      </c>
      <c r="P119">
        <v>1860</v>
      </c>
      <c r="Q119">
        <v>1444</v>
      </c>
      <c r="R119">
        <v>1024</v>
      </c>
      <c r="S119">
        <v>955</v>
      </c>
      <c r="T119">
        <v>944</v>
      </c>
      <c r="U119">
        <v>938</v>
      </c>
      <c r="V119">
        <v>846</v>
      </c>
      <c r="W119">
        <v>803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955906</v>
      </c>
    </row>
    <row r="120" spans="1:51" hidden="1" x14ac:dyDescent="0.2">
      <c r="A120" t="s">
        <v>6</v>
      </c>
      <c r="C120">
        <v>118</v>
      </c>
      <c r="D120">
        <v>13</v>
      </c>
      <c r="E120" t="s">
        <v>204</v>
      </c>
      <c r="F120">
        <v>2014</v>
      </c>
      <c r="H120">
        <v>508274</v>
      </c>
      <c r="I120">
        <v>337678</v>
      </c>
      <c r="J120">
        <v>25981</v>
      </c>
      <c r="K120">
        <v>15956</v>
      </c>
      <c r="L120">
        <v>11375</v>
      </c>
      <c r="M120">
        <v>10857</v>
      </c>
      <c r="N120">
        <v>6935</v>
      </c>
      <c r="O120">
        <v>5426</v>
      </c>
      <c r="P120">
        <v>3751</v>
      </c>
      <c r="Q120">
        <v>2401</v>
      </c>
      <c r="R120">
        <v>1993</v>
      </c>
      <c r="S120">
        <v>1497</v>
      </c>
      <c r="T120">
        <v>1337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933461</v>
      </c>
    </row>
    <row r="121" spans="1:51" hidden="1" x14ac:dyDescent="0.2">
      <c r="A121" t="s">
        <v>6</v>
      </c>
      <c r="C121">
        <v>119</v>
      </c>
      <c r="D121">
        <v>11</v>
      </c>
      <c r="E121" t="s">
        <v>205</v>
      </c>
      <c r="F121">
        <v>2014</v>
      </c>
      <c r="H121">
        <v>511111</v>
      </c>
      <c r="I121">
        <v>280757</v>
      </c>
      <c r="J121">
        <v>32305</v>
      </c>
      <c r="K121">
        <v>28958</v>
      </c>
      <c r="L121">
        <v>11244</v>
      </c>
      <c r="M121">
        <v>11233</v>
      </c>
      <c r="N121">
        <v>6838</v>
      </c>
      <c r="O121">
        <v>5078</v>
      </c>
      <c r="P121">
        <v>4849</v>
      </c>
      <c r="Q121">
        <v>4167</v>
      </c>
      <c r="R121">
        <v>3841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900381</v>
      </c>
    </row>
    <row r="122" spans="1:51" hidden="1" x14ac:dyDescent="0.2">
      <c r="A122" t="s">
        <v>6</v>
      </c>
      <c r="C122">
        <v>120</v>
      </c>
      <c r="D122">
        <v>9</v>
      </c>
      <c r="E122" t="s">
        <v>206</v>
      </c>
      <c r="F122">
        <v>2014</v>
      </c>
      <c r="H122">
        <v>845464</v>
      </c>
      <c r="I122">
        <v>275336</v>
      </c>
      <c r="J122">
        <v>18053</v>
      </c>
      <c r="K122">
        <v>10101</v>
      </c>
      <c r="L122">
        <v>5782</v>
      </c>
      <c r="M122">
        <v>2249</v>
      </c>
      <c r="N122">
        <v>2101</v>
      </c>
      <c r="O122">
        <v>1382</v>
      </c>
      <c r="P122">
        <v>1109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1161577</v>
      </c>
    </row>
    <row r="123" spans="1:51" hidden="1" x14ac:dyDescent="0.2">
      <c r="A123" t="s">
        <v>6</v>
      </c>
      <c r="C123">
        <v>121</v>
      </c>
      <c r="D123">
        <v>5</v>
      </c>
      <c r="E123" t="s">
        <v>207</v>
      </c>
      <c r="F123">
        <v>2014</v>
      </c>
      <c r="H123">
        <v>607916</v>
      </c>
      <c r="I123">
        <v>428187</v>
      </c>
      <c r="J123">
        <v>28815</v>
      </c>
      <c r="K123">
        <v>23116</v>
      </c>
      <c r="L123">
        <v>12508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1100542</v>
      </c>
    </row>
    <row r="124" spans="1:51" hidden="1" x14ac:dyDescent="0.2">
      <c r="A124" t="s">
        <v>6</v>
      </c>
      <c r="C124">
        <v>122</v>
      </c>
      <c r="D124">
        <v>15</v>
      </c>
      <c r="E124" t="s">
        <v>208</v>
      </c>
      <c r="F124">
        <v>2014</v>
      </c>
      <c r="H124">
        <v>548902</v>
      </c>
      <c r="I124">
        <v>395629</v>
      </c>
      <c r="J124">
        <v>49289</v>
      </c>
      <c r="K124">
        <v>23615</v>
      </c>
      <c r="L124">
        <v>9862</v>
      </c>
      <c r="M124">
        <v>7275</v>
      </c>
      <c r="N124">
        <v>5125</v>
      </c>
      <c r="O124">
        <v>4818</v>
      </c>
      <c r="P124">
        <v>3353</v>
      </c>
      <c r="Q124">
        <v>2694</v>
      </c>
      <c r="R124">
        <v>2661</v>
      </c>
      <c r="S124">
        <v>2644</v>
      </c>
      <c r="T124">
        <v>1855</v>
      </c>
      <c r="U124">
        <v>1406</v>
      </c>
      <c r="V124">
        <v>1083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1060211</v>
      </c>
    </row>
    <row r="125" spans="1:51" hidden="1" x14ac:dyDescent="0.2">
      <c r="A125" t="s">
        <v>6</v>
      </c>
      <c r="C125">
        <v>123</v>
      </c>
      <c r="D125">
        <v>11</v>
      </c>
      <c r="E125" t="s">
        <v>209</v>
      </c>
      <c r="F125">
        <v>2014</v>
      </c>
      <c r="H125">
        <v>622769</v>
      </c>
      <c r="I125">
        <v>498885</v>
      </c>
      <c r="J125">
        <v>19991</v>
      </c>
      <c r="K125">
        <v>13270</v>
      </c>
      <c r="L125">
        <v>11625</v>
      </c>
      <c r="M125">
        <v>10842</v>
      </c>
      <c r="N125">
        <v>8607</v>
      </c>
      <c r="O125">
        <v>7321</v>
      </c>
      <c r="P125">
        <v>5351</v>
      </c>
      <c r="Q125">
        <v>5334</v>
      </c>
      <c r="R125">
        <v>2184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1206179</v>
      </c>
    </row>
    <row r="126" spans="1:51" hidden="1" x14ac:dyDescent="0.2">
      <c r="A126" t="s">
        <v>6</v>
      </c>
      <c r="C126">
        <v>124</v>
      </c>
      <c r="D126">
        <v>9</v>
      </c>
      <c r="E126" t="s">
        <v>210</v>
      </c>
      <c r="F126">
        <v>2014</v>
      </c>
      <c r="H126">
        <v>718412</v>
      </c>
      <c r="I126">
        <v>185222</v>
      </c>
      <c r="J126">
        <v>18877</v>
      </c>
      <c r="K126">
        <v>10936</v>
      </c>
      <c r="L126">
        <v>6346</v>
      </c>
      <c r="M126">
        <v>2695</v>
      </c>
      <c r="N126">
        <v>2640</v>
      </c>
      <c r="O126">
        <v>1607</v>
      </c>
      <c r="P126">
        <v>1187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947922</v>
      </c>
    </row>
    <row r="127" spans="1:51" hidden="1" x14ac:dyDescent="0.2">
      <c r="A127" t="s">
        <v>6</v>
      </c>
      <c r="C127">
        <v>125</v>
      </c>
      <c r="D127">
        <v>20</v>
      </c>
      <c r="E127" t="s">
        <v>211</v>
      </c>
      <c r="F127">
        <v>2014</v>
      </c>
      <c r="H127">
        <v>820831</v>
      </c>
      <c r="I127">
        <v>262715</v>
      </c>
      <c r="J127">
        <v>14299</v>
      </c>
      <c r="K127">
        <v>11240</v>
      </c>
      <c r="L127">
        <v>9322</v>
      </c>
      <c r="M127">
        <v>7560</v>
      </c>
      <c r="N127">
        <v>6069</v>
      </c>
      <c r="O127">
        <v>4267</v>
      </c>
      <c r="P127">
        <v>3853</v>
      </c>
      <c r="Q127">
        <v>3510</v>
      </c>
      <c r="R127">
        <v>2888</v>
      </c>
      <c r="S127">
        <v>2739</v>
      </c>
      <c r="T127">
        <v>2235</v>
      </c>
      <c r="U127">
        <v>2156</v>
      </c>
      <c r="V127">
        <v>1787</v>
      </c>
      <c r="W127">
        <v>1264</v>
      </c>
      <c r="X127">
        <v>1089</v>
      </c>
      <c r="Y127">
        <v>1059</v>
      </c>
      <c r="Z127">
        <v>1030</v>
      </c>
      <c r="AA127">
        <v>834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1160747</v>
      </c>
    </row>
    <row r="128" spans="1:51" hidden="1" x14ac:dyDescent="0.2">
      <c r="A128" t="s">
        <v>6</v>
      </c>
      <c r="C128">
        <v>126</v>
      </c>
      <c r="D128">
        <v>11</v>
      </c>
      <c r="E128" t="s">
        <v>212</v>
      </c>
      <c r="F128">
        <v>2014</v>
      </c>
      <c r="H128">
        <v>617772</v>
      </c>
      <c r="I128">
        <v>409768</v>
      </c>
      <c r="J128">
        <v>26606</v>
      </c>
      <c r="K128">
        <v>14202</v>
      </c>
      <c r="L128">
        <v>12757</v>
      </c>
      <c r="M128">
        <v>11372</v>
      </c>
      <c r="N128">
        <v>9702</v>
      </c>
      <c r="O128">
        <v>8047</v>
      </c>
      <c r="P128">
        <v>6028</v>
      </c>
      <c r="Q128">
        <v>2982</v>
      </c>
      <c r="R128">
        <v>2967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1122203</v>
      </c>
    </row>
    <row r="129" spans="1:51" hidden="1" x14ac:dyDescent="0.2">
      <c r="A129" t="s">
        <v>7</v>
      </c>
      <c r="C129">
        <v>127</v>
      </c>
      <c r="D129">
        <v>15</v>
      </c>
      <c r="E129" t="s">
        <v>213</v>
      </c>
      <c r="F129">
        <v>2014</v>
      </c>
      <c r="H129">
        <v>612121</v>
      </c>
      <c r="I129">
        <v>272047</v>
      </c>
      <c r="J129">
        <v>129571</v>
      </c>
      <c r="K129">
        <v>102627</v>
      </c>
      <c r="L129">
        <v>63626</v>
      </c>
      <c r="M129">
        <v>11123</v>
      </c>
      <c r="N129">
        <v>7816</v>
      </c>
      <c r="O129">
        <v>3765</v>
      </c>
      <c r="P129">
        <v>3432</v>
      </c>
      <c r="Q129">
        <v>3388</v>
      </c>
      <c r="R129">
        <v>3095</v>
      </c>
      <c r="S129">
        <v>2715</v>
      </c>
      <c r="T129">
        <v>1446</v>
      </c>
      <c r="U129">
        <v>1290</v>
      </c>
      <c r="V129">
        <v>933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1218995</v>
      </c>
    </row>
    <row r="130" spans="1:51" hidden="1" x14ac:dyDescent="0.2">
      <c r="A130" t="s">
        <v>7</v>
      </c>
      <c r="C130">
        <v>128</v>
      </c>
      <c r="D130">
        <v>23</v>
      </c>
      <c r="E130" t="s">
        <v>214</v>
      </c>
      <c r="F130">
        <v>2014</v>
      </c>
      <c r="H130">
        <v>418112</v>
      </c>
      <c r="I130">
        <v>288376</v>
      </c>
      <c r="J130">
        <v>287722</v>
      </c>
      <c r="K130">
        <v>68926</v>
      </c>
      <c r="L130">
        <v>32554</v>
      </c>
      <c r="M130">
        <v>6061</v>
      </c>
      <c r="N130">
        <v>3887</v>
      </c>
      <c r="O130">
        <v>3251</v>
      </c>
      <c r="P130">
        <v>2770</v>
      </c>
      <c r="Q130">
        <v>2765</v>
      </c>
      <c r="R130">
        <v>2482</v>
      </c>
      <c r="S130">
        <v>2344</v>
      </c>
      <c r="T130">
        <v>2083</v>
      </c>
      <c r="U130">
        <v>2041</v>
      </c>
      <c r="V130">
        <v>1994</v>
      </c>
      <c r="W130">
        <v>1665</v>
      </c>
      <c r="X130">
        <v>1635</v>
      </c>
      <c r="Y130">
        <v>1593</v>
      </c>
      <c r="Z130">
        <v>1534</v>
      </c>
      <c r="AA130">
        <v>1483</v>
      </c>
      <c r="AB130">
        <v>1092</v>
      </c>
      <c r="AC130">
        <v>762</v>
      </c>
      <c r="AD130">
        <v>760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1135892</v>
      </c>
    </row>
    <row r="131" spans="1:51" hidden="1" x14ac:dyDescent="0.2">
      <c r="A131" t="s">
        <v>7</v>
      </c>
      <c r="C131">
        <v>129</v>
      </c>
      <c r="D131">
        <v>19</v>
      </c>
      <c r="E131" t="s">
        <v>215</v>
      </c>
      <c r="F131">
        <v>2014</v>
      </c>
      <c r="H131">
        <v>506370</v>
      </c>
      <c r="I131">
        <v>390634</v>
      </c>
      <c r="J131">
        <v>241067</v>
      </c>
      <c r="K131">
        <v>66844</v>
      </c>
      <c r="L131">
        <v>20750</v>
      </c>
      <c r="M131">
        <v>11194</v>
      </c>
      <c r="N131">
        <v>7308</v>
      </c>
      <c r="O131">
        <v>5636</v>
      </c>
      <c r="P131">
        <v>4208</v>
      </c>
      <c r="Q131">
        <v>4136</v>
      </c>
      <c r="R131">
        <v>4033</v>
      </c>
      <c r="S131">
        <v>3432</v>
      </c>
      <c r="T131">
        <v>2901</v>
      </c>
      <c r="U131">
        <v>2350</v>
      </c>
      <c r="V131">
        <v>2201</v>
      </c>
      <c r="W131">
        <v>2145</v>
      </c>
      <c r="X131">
        <v>1365</v>
      </c>
      <c r="Y131">
        <v>1334</v>
      </c>
      <c r="Z131">
        <v>1197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1279105</v>
      </c>
    </row>
    <row r="132" spans="1:51" hidden="1" x14ac:dyDescent="0.2">
      <c r="A132" t="s">
        <v>7</v>
      </c>
      <c r="C132">
        <v>130</v>
      </c>
      <c r="D132">
        <v>35</v>
      </c>
      <c r="E132" t="s">
        <v>216</v>
      </c>
      <c r="F132">
        <v>2014</v>
      </c>
      <c r="H132">
        <v>494478</v>
      </c>
      <c r="I132">
        <v>462631</v>
      </c>
      <c r="J132">
        <v>102509</v>
      </c>
      <c r="K132">
        <v>30446</v>
      </c>
      <c r="L132">
        <v>28490</v>
      </c>
      <c r="M132">
        <v>6533</v>
      </c>
      <c r="N132">
        <v>5251</v>
      </c>
      <c r="O132">
        <v>2587</v>
      </c>
      <c r="P132">
        <v>1886</v>
      </c>
      <c r="Q132">
        <v>1788</v>
      </c>
      <c r="R132">
        <v>1723</v>
      </c>
      <c r="S132">
        <v>1645</v>
      </c>
      <c r="T132">
        <v>1471</v>
      </c>
      <c r="U132">
        <v>1242</v>
      </c>
      <c r="V132">
        <v>1195</v>
      </c>
      <c r="W132">
        <v>1143</v>
      </c>
      <c r="X132">
        <v>1048</v>
      </c>
      <c r="Y132">
        <v>959</v>
      </c>
      <c r="Z132">
        <v>705</v>
      </c>
      <c r="AA132">
        <v>700</v>
      </c>
      <c r="AB132">
        <v>684</v>
      </c>
      <c r="AC132">
        <v>600</v>
      </c>
      <c r="AD132">
        <v>587</v>
      </c>
      <c r="AE132">
        <v>463</v>
      </c>
      <c r="AF132">
        <v>447</v>
      </c>
      <c r="AG132">
        <v>408</v>
      </c>
      <c r="AH132">
        <v>395</v>
      </c>
      <c r="AI132">
        <v>388</v>
      </c>
      <c r="AJ132">
        <v>371</v>
      </c>
      <c r="AK132">
        <v>363</v>
      </c>
      <c r="AL132">
        <v>342</v>
      </c>
      <c r="AM132">
        <v>307</v>
      </c>
      <c r="AN132">
        <v>300</v>
      </c>
      <c r="AO132">
        <v>273</v>
      </c>
      <c r="AP132">
        <v>255</v>
      </c>
      <c r="AQ132">
        <v>245</v>
      </c>
      <c r="AR132">
        <v>213</v>
      </c>
      <c r="AS132">
        <v>208</v>
      </c>
      <c r="AT132">
        <v>197</v>
      </c>
      <c r="AU132">
        <v>176</v>
      </c>
      <c r="AV132">
        <v>134</v>
      </c>
      <c r="AW132">
        <v>128</v>
      </c>
      <c r="AX132">
        <v>0</v>
      </c>
      <c r="AY132">
        <v>1155914</v>
      </c>
    </row>
    <row r="133" spans="1:51" hidden="1" x14ac:dyDescent="0.2">
      <c r="A133" t="s">
        <v>7</v>
      </c>
      <c r="C133">
        <v>131</v>
      </c>
      <c r="D133">
        <v>24</v>
      </c>
      <c r="E133" t="s">
        <v>217</v>
      </c>
      <c r="F133">
        <v>2014</v>
      </c>
      <c r="H133">
        <v>594817</v>
      </c>
      <c r="I133">
        <v>234670</v>
      </c>
      <c r="J133">
        <v>187902</v>
      </c>
      <c r="K133">
        <v>102628</v>
      </c>
      <c r="L133">
        <v>32060</v>
      </c>
      <c r="M133">
        <v>10945</v>
      </c>
      <c r="N133">
        <v>3442</v>
      </c>
      <c r="O133">
        <v>2929</v>
      </c>
      <c r="P133">
        <v>2775</v>
      </c>
      <c r="Q133">
        <v>2723</v>
      </c>
      <c r="R133">
        <v>2654</v>
      </c>
      <c r="S133">
        <v>1937</v>
      </c>
      <c r="T133">
        <v>1757</v>
      </c>
      <c r="U133">
        <v>1544</v>
      </c>
      <c r="V133">
        <v>1468</v>
      </c>
      <c r="W133">
        <v>1314</v>
      </c>
      <c r="X133">
        <v>1276</v>
      </c>
      <c r="Y133">
        <v>1260</v>
      </c>
      <c r="Z133">
        <v>1144</v>
      </c>
      <c r="AA133">
        <v>940</v>
      </c>
      <c r="AB133">
        <v>885</v>
      </c>
      <c r="AC133">
        <v>865</v>
      </c>
      <c r="AD133">
        <v>806</v>
      </c>
      <c r="AE133">
        <v>759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1193500</v>
      </c>
    </row>
    <row r="134" spans="1:51" hidden="1" x14ac:dyDescent="0.2">
      <c r="A134" t="s">
        <v>7</v>
      </c>
      <c r="C134">
        <v>132</v>
      </c>
      <c r="D134">
        <v>24</v>
      </c>
      <c r="E134" t="s">
        <v>218</v>
      </c>
      <c r="F134">
        <v>2014</v>
      </c>
      <c r="H134">
        <v>347203</v>
      </c>
      <c r="I134">
        <v>269789</v>
      </c>
      <c r="J134">
        <v>264404</v>
      </c>
      <c r="K134">
        <v>48597</v>
      </c>
      <c r="L134">
        <v>24103</v>
      </c>
      <c r="M134">
        <v>5534</v>
      </c>
      <c r="N134">
        <v>4405</v>
      </c>
      <c r="O134">
        <v>3950</v>
      </c>
      <c r="P134">
        <v>2525</v>
      </c>
      <c r="Q134">
        <v>2417</v>
      </c>
      <c r="R134">
        <v>2403</v>
      </c>
      <c r="S134">
        <v>1757</v>
      </c>
      <c r="T134">
        <v>1375</v>
      </c>
      <c r="U134">
        <v>965</v>
      </c>
      <c r="V134">
        <v>943</v>
      </c>
      <c r="W134">
        <v>916</v>
      </c>
      <c r="X134">
        <v>899</v>
      </c>
      <c r="Y134">
        <v>671</v>
      </c>
      <c r="Z134">
        <v>656</v>
      </c>
      <c r="AA134">
        <v>550</v>
      </c>
      <c r="AB134">
        <v>492</v>
      </c>
      <c r="AC134">
        <v>468</v>
      </c>
      <c r="AD134">
        <v>357</v>
      </c>
      <c r="AE134">
        <v>259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985638</v>
      </c>
    </row>
    <row r="135" spans="1:51" hidden="1" x14ac:dyDescent="0.2">
      <c r="A135" t="s">
        <v>7</v>
      </c>
      <c r="C135">
        <v>133</v>
      </c>
      <c r="D135">
        <v>15</v>
      </c>
      <c r="E135" t="s">
        <v>219</v>
      </c>
      <c r="F135">
        <v>2014</v>
      </c>
      <c r="H135">
        <v>490063</v>
      </c>
      <c r="I135">
        <v>319436</v>
      </c>
      <c r="J135">
        <v>151120</v>
      </c>
      <c r="K135">
        <v>46759</v>
      </c>
      <c r="L135">
        <v>18690</v>
      </c>
      <c r="M135">
        <v>4932</v>
      </c>
      <c r="N135">
        <v>3151</v>
      </c>
      <c r="O135">
        <v>2497</v>
      </c>
      <c r="P135">
        <v>2449</v>
      </c>
      <c r="Q135">
        <v>2032</v>
      </c>
      <c r="R135">
        <v>947</v>
      </c>
      <c r="S135">
        <v>829</v>
      </c>
      <c r="T135">
        <v>614</v>
      </c>
      <c r="U135">
        <v>418</v>
      </c>
      <c r="V135">
        <v>394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1044331</v>
      </c>
    </row>
    <row r="136" spans="1:51" hidden="1" x14ac:dyDescent="0.2">
      <c r="A136" t="s">
        <v>7</v>
      </c>
      <c r="C136">
        <v>134</v>
      </c>
      <c r="D136">
        <v>27</v>
      </c>
      <c r="E136" t="s">
        <v>220</v>
      </c>
      <c r="F136">
        <v>2014</v>
      </c>
      <c r="H136">
        <v>404542</v>
      </c>
      <c r="I136">
        <v>275148</v>
      </c>
      <c r="J136">
        <v>268115</v>
      </c>
      <c r="K136">
        <v>27834</v>
      </c>
      <c r="L136">
        <v>22200</v>
      </c>
      <c r="M136">
        <v>6265</v>
      </c>
      <c r="N136">
        <v>3441</v>
      </c>
      <c r="O136">
        <v>3195</v>
      </c>
      <c r="P136">
        <v>3151</v>
      </c>
      <c r="Q136">
        <v>2357</v>
      </c>
      <c r="R136">
        <v>1994</v>
      </c>
      <c r="S136">
        <v>1617</v>
      </c>
      <c r="T136">
        <v>1493</v>
      </c>
      <c r="U136">
        <v>1334</v>
      </c>
      <c r="V136">
        <v>1060</v>
      </c>
      <c r="W136">
        <v>1020</v>
      </c>
      <c r="X136">
        <v>995</v>
      </c>
      <c r="Y136">
        <v>826</v>
      </c>
      <c r="Z136">
        <v>708</v>
      </c>
      <c r="AA136">
        <v>603</v>
      </c>
      <c r="AB136">
        <v>523</v>
      </c>
      <c r="AC136">
        <v>393</v>
      </c>
      <c r="AD136">
        <v>391</v>
      </c>
      <c r="AE136">
        <v>361</v>
      </c>
      <c r="AF136">
        <v>297</v>
      </c>
      <c r="AG136">
        <v>293</v>
      </c>
      <c r="AH136">
        <v>275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1030431</v>
      </c>
    </row>
    <row r="137" spans="1:51" hidden="1" x14ac:dyDescent="0.2">
      <c r="A137" t="s">
        <v>7</v>
      </c>
      <c r="C137">
        <v>135</v>
      </c>
      <c r="D137">
        <v>22</v>
      </c>
      <c r="E137" t="s">
        <v>221</v>
      </c>
      <c r="F137">
        <v>2014</v>
      </c>
      <c r="H137">
        <v>644780</v>
      </c>
      <c r="I137">
        <v>370058</v>
      </c>
      <c r="J137">
        <v>133713</v>
      </c>
      <c r="K137">
        <v>79456</v>
      </c>
      <c r="L137">
        <v>65009</v>
      </c>
      <c r="M137">
        <v>7821</v>
      </c>
      <c r="N137">
        <v>3147</v>
      </c>
      <c r="O137">
        <v>3043</v>
      </c>
      <c r="P137">
        <v>2658</v>
      </c>
      <c r="Q137">
        <v>1429</v>
      </c>
      <c r="R137">
        <v>1153</v>
      </c>
      <c r="S137">
        <v>1021</v>
      </c>
      <c r="T137">
        <v>938</v>
      </c>
      <c r="U137">
        <v>923</v>
      </c>
      <c r="V137">
        <v>804</v>
      </c>
      <c r="W137">
        <v>713</v>
      </c>
      <c r="X137">
        <v>699</v>
      </c>
      <c r="Y137">
        <v>685</v>
      </c>
      <c r="Z137">
        <v>566</v>
      </c>
      <c r="AA137">
        <v>0</v>
      </c>
      <c r="AB137">
        <v>494</v>
      </c>
      <c r="AC137">
        <v>489</v>
      </c>
      <c r="AD137">
        <v>455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1320054</v>
      </c>
    </row>
    <row r="138" spans="1:51" hidden="1" x14ac:dyDescent="0.2">
      <c r="A138" t="s">
        <v>7</v>
      </c>
      <c r="C138">
        <v>136</v>
      </c>
      <c r="D138">
        <v>28</v>
      </c>
      <c r="E138" t="s">
        <v>222</v>
      </c>
      <c r="F138">
        <v>2014</v>
      </c>
      <c r="H138">
        <v>652516</v>
      </c>
      <c r="I138">
        <v>185643</v>
      </c>
      <c r="J138">
        <v>132472</v>
      </c>
      <c r="K138">
        <v>67355</v>
      </c>
      <c r="L138">
        <v>66000</v>
      </c>
      <c r="M138">
        <v>3328</v>
      </c>
      <c r="N138">
        <v>2761</v>
      </c>
      <c r="O138">
        <v>2550</v>
      </c>
      <c r="P138">
        <v>1942</v>
      </c>
      <c r="Q138">
        <v>1940</v>
      </c>
      <c r="R138">
        <v>1735</v>
      </c>
      <c r="S138">
        <v>1689</v>
      </c>
      <c r="T138">
        <v>1104</v>
      </c>
      <c r="U138">
        <v>1084</v>
      </c>
      <c r="V138">
        <v>976</v>
      </c>
      <c r="W138">
        <v>967</v>
      </c>
      <c r="X138">
        <v>711</v>
      </c>
      <c r="Y138">
        <v>685</v>
      </c>
      <c r="Z138">
        <v>665</v>
      </c>
      <c r="AA138">
        <v>656</v>
      </c>
      <c r="AB138">
        <v>644</v>
      </c>
      <c r="AC138">
        <v>620</v>
      </c>
      <c r="AD138">
        <v>524</v>
      </c>
      <c r="AE138">
        <v>479</v>
      </c>
      <c r="AF138">
        <v>442</v>
      </c>
      <c r="AG138">
        <v>420</v>
      </c>
      <c r="AH138">
        <v>410</v>
      </c>
      <c r="AI138">
        <v>407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1130725</v>
      </c>
    </row>
    <row r="139" spans="1:51" hidden="1" x14ac:dyDescent="0.2">
      <c r="A139" t="s">
        <v>8</v>
      </c>
      <c r="C139">
        <v>137</v>
      </c>
      <c r="D139">
        <v>13</v>
      </c>
      <c r="E139" t="s">
        <v>223</v>
      </c>
      <c r="F139">
        <v>2014</v>
      </c>
      <c r="H139">
        <v>456163</v>
      </c>
      <c r="I139">
        <v>286091</v>
      </c>
      <c r="J139">
        <v>24430</v>
      </c>
      <c r="K139">
        <v>8704</v>
      </c>
      <c r="L139">
        <v>5949</v>
      </c>
      <c r="M139">
        <v>5585</v>
      </c>
      <c r="N139">
        <v>4106</v>
      </c>
      <c r="O139">
        <v>3757</v>
      </c>
      <c r="P139">
        <v>1133</v>
      </c>
      <c r="Q139">
        <v>1085</v>
      </c>
      <c r="R139">
        <v>997</v>
      </c>
      <c r="S139">
        <v>808</v>
      </c>
      <c r="T139">
        <v>637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799445</v>
      </c>
    </row>
    <row r="140" spans="1:51" hidden="1" x14ac:dyDescent="0.2">
      <c r="A140" t="s">
        <v>8</v>
      </c>
      <c r="C140">
        <v>138</v>
      </c>
      <c r="D140">
        <v>10</v>
      </c>
      <c r="E140" t="s">
        <v>224</v>
      </c>
      <c r="F140">
        <v>2014</v>
      </c>
      <c r="H140">
        <v>362824</v>
      </c>
      <c r="I140">
        <v>322968</v>
      </c>
      <c r="J140">
        <v>13965</v>
      </c>
      <c r="K140">
        <v>9359</v>
      </c>
      <c r="L140">
        <v>6191</v>
      </c>
      <c r="M140">
        <v>5167</v>
      </c>
      <c r="N140">
        <v>1928</v>
      </c>
      <c r="O140">
        <v>1868</v>
      </c>
      <c r="P140">
        <v>923</v>
      </c>
      <c r="Q140">
        <v>901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726094</v>
      </c>
    </row>
    <row r="141" spans="1:51" hidden="1" x14ac:dyDescent="0.2">
      <c r="A141" t="s">
        <v>8</v>
      </c>
      <c r="C141">
        <v>139</v>
      </c>
      <c r="D141">
        <v>11</v>
      </c>
      <c r="E141" t="s">
        <v>225</v>
      </c>
      <c r="F141">
        <v>2014</v>
      </c>
      <c r="H141">
        <v>448035</v>
      </c>
      <c r="I141">
        <v>349632</v>
      </c>
      <c r="J141">
        <v>15329</v>
      </c>
      <c r="K141">
        <v>6473</v>
      </c>
      <c r="L141">
        <v>5827</v>
      </c>
      <c r="M141">
        <v>3687</v>
      </c>
      <c r="N141">
        <v>2328</v>
      </c>
      <c r="O141">
        <v>1692</v>
      </c>
      <c r="P141">
        <v>952</v>
      </c>
      <c r="Q141">
        <v>647</v>
      </c>
      <c r="R141">
        <v>603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835205</v>
      </c>
    </row>
    <row r="142" spans="1:51" hidden="1" x14ac:dyDescent="0.2">
      <c r="A142" t="s">
        <v>8</v>
      </c>
      <c r="C142">
        <v>140</v>
      </c>
      <c r="D142">
        <v>8</v>
      </c>
      <c r="E142" t="s">
        <v>226</v>
      </c>
      <c r="F142">
        <v>2014</v>
      </c>
      <c r="H142">
        <v>385973</v>
      </c>
      <c r="I142">
        <v>301786</v>
      </c>
      <c r="J142">
        <v>14233</v>
      </c>
      <c r="K142">
        <v>11434</v>
      </c>
      <c r="L142">
        <v>7787</v>
      </c>
      <c r="M142">
        <v>6173</v>
      </c>
      <c r="N142">
        <v>5985</v>
      </c>
      <c r="O142">
        <v>4385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737756</v>
      </c>
    </row>
    <row r="143" spans="1:51" hidden="1" x14ac:dyDescent="0.2">
      <c r="A143" t="s">
        <v>9</v>
      </c>
      <c r="C143">
        <v>141</v>
      </c>
      <c r="D143">
        <v>16</v>
      </c>
      <c r="E143" t="s">
        <v>227</v>
      </c>
      <c r="F143">
        <v>2014</v>
      </c>
      <c r="H143">
        <v>175277</v>
      </c>
      <c r="I143">
        <v>146058</v>
      </c>
      <c r="J143">
        <v>71154</v>
      </c>
      <c r="K143">
        <v>22090</v>
      </c>
      <c r="L143">
        <v>7301</v>
      </c>
      <c r="M143">
        <v>6558</v>
      </c>
      <c r="N143">
        <v>5788</v>
      </c>
      <c r="O143">
        <v>5566</v>
      </c>
      <c r="P143">
        <v>4568</v>
      </c>
      <c r="Q143">
        <v>4141</v>
      </c>
      <c r="R143">
        <v>4006</v>
      </c>
      <c r="S143">
        <v>3655</v>
      </c>
      <c r="T143">
        <v>3143</v>
      </c>
      <c r="U143">
        <v>2694</v>
      </c>
      <c r="V143">
        <v>2050</v>
      </c>
      <c r="W143">
        <v>1943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465992</v>
      </c>
    </row>
    <row r="144" spans="1:51" hidden="1" x14ac:dyDescent="0.2">
      <c r="A144" t="s">
        <v>9</v>
      </c>
      <c r="C144">
        <v>142</v>
      </c>
      <c r="D144">
        <v>15</v>
      </c>
      <c r="E144" t="s">
        <v>228</v>
      </c>
      <c r="F144">
        <v>2014</v>
      </c>
      <c r="H144">
        <v>157923</v>
      </c>
      <c r="I144">
        <v>115643</v>
      </c>
      <c r="J144">
        <v>16050</v>
      </c>
      <c r="K144">
        <v>4979</v>
      </c>
      <c r="L144">
        <v>4467</v>
      </c>
      <c r="M144">
        <v>3271</v>
      </c>
      <c r="N144">
        <v>2802</v>
      </c>
      <c r="O144">
        <v>1668</v>
      </c>
      <c r="P144">
        <v>1215</v>
      </c>
      <c r="Q144">
        <v>1157</v>
      </c>
      <c r="R144">
        <v>864</v>
      </c>
      <c r="S144">
        <v>608</v>
      </c>
      <c r="T144">
        <v>583</v>
      </c>
      <c r="U144">
        <v>521</v>
      </c>
      <c r="V144">
        <v>461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312212</v>
      </c>
    </row>
    <row r="145" spans="1:51" hidden="1" x14ac:dyDescent="0.2">
      <c r="A145" t="s">
        <v>9</v>
      </c>
      <c r="C145">
        <v>143</v>
      </c>
      <c r="D145">
        <v>13</v>
      </c>
      <c r="E145" t="s">
        <v>229</v>
      </c>
      <c r="F145">
        <v>2014</v>
      </c>
      <c r="H145">
        <v>200429</v>
      </c>
      <c r="I145">
        <v>135012</v>
      </c>
      <c r="J145">
        <v>7340</v>
      </c>
      <c r="K145">
        <v>5936</v>
      </c>
      <c r="L145">
        <v>4720</v>
      </c>
      <c r="M145">
        <v>4345</v>
      </c>
      <c r="N145">
        <v>3439</v>
      </c>
      <c r="O145">
        <v>3312</v>
      </c>
      <c r="P145">
        <v>3286</v>
      </c>
      <c r="Q145">
        <v>3252</v>
      </c>
      <c r="R145">
        <v>1837</v>
      </c>
      <c r="S145">
        <v>1568</v>
      </c>
      <c r="T145">
        <v>803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375279</v>
      </c>
    </row>
    <row r="146" spans="1:51" hidden="1" x14ac:dyDescent="0.2">
      <c r="A146" t="s">
        <v>9</v>
      </c>
      <c r="C146">
        <v>144</v>
      </c>
      <c r="D146">
        <v>5</v>
      </c>
      <c r="E146" t="s">
        <v>230</v>
      </c>
      <c r="F146">
        <v>2014</v>
      </c>
      <c r="H146">
        <v>31111</v>
      </c>
      <c r="I146">
        <v>31075</v>
      </c>
      <c r="J146">
        <v>28234</v>
      </c>
      <c r="K146">
        <v>26402</v>
      </c>
      <c r="L146">
        <v>1207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118029</v>
      </c>
    </row>
    <row r="147" spans="1:51" hidden="1" x14ac:dyDescent="0.2">
      <c r="A147" t="s">
        <v>9</v>
      </c>
      <c r="C147">
        <v>145</v>
      </c>
      <c r="D147">
        <v>14</v>
      </c>
      <c r="E147" t="s">
        <v>231</v>
      </c>
      <c r="F147">
        <v>2014</v>
      </c>
      <c r="H147">
        <v>487369</v>
      </c>
      <c r="I147">
        <v>426393</v>
      </c>
      <c r="J147">
        <v>30461</v>
      </c>
      <c r="K147">
        <v>25312</v>
      </c>
      <c r="L147">
        <v>16437</v>
      </c>
      <c r="M147">
        <v>15188</v>
      </c>
      <c r="N147">
        <v>10478</v>
      </c>
      <c r="O147">
        <v>9217</v>
      </c>
      <c r="P147">
        <v>7339</v>
      </c>
      <c r="Q147">
        <v>5755</v>
      </c>
      <c r="R147">
        <v>2187</v>
      </c>
      <c r="S147">
        <v>1971</v>
      </c>
      <c r="T147">
        <v>1842</v>
      </c>
      <c r="U147">
        <v>1809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1041758</v>
      </c>
    </row>
    <row r="148" spans="1:51" hidden="1" x14ac:dyDescent="0.2">
      <c r="A148" t="s">
        <v>9</v>
      </c>
      <c r="C148">
        <v>146</v>
      </c>
      <c r="D148">
        <v>20</v>
      </c>
      <c r="E148" t="s">
        <v>232</v>
      </c>
      <c r="F148">
        <v>2014</v>
      </c>
      <c r="H148">
        <v>619995</v>
      </c>
      <c r="I148">
        <v>362715</v>
      </c>
      <c r="J148">
        <v>168554</v>
      </c>
      <c r="K148">
        <v>31199</v>
      </c>
      <c r="L148">
        <v>9071</v>
      </c>
      <c r="M148">
        <v>7423</v>
      </c>
      <c r="N148">
        <v>7173</v>
      </c>
      <c r="O148">
        <v>6042</v>
      </c>
      <c r="P148">
        <v>5286</v>
      </c>
      <c r="Q148">
        <v>5125</v>
      </c>
      <c r="R148">
        <v>5046</v>
      </c>
      <c r="S148">
        <v>4382</v>
      </c>
      <c r="T148">
        <v>4177</v>
      </c>
      <c r="U148">
        <v>3164</v>
      </c>
      <c r="V148">
        <v>2991</v>
      </c>
      <c r="W148">
        <v>2582</v>
      </c>
      <c r="X148">
        <v>2469</v>
      </c>
      <c r="Y148">
        <v>2205</v>
      </c>
      <c r="Z148">
        <v>2013</v>
      </c>
      <c r="AA148">
        <v>1981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1253593</v>
      </c>
    </row>
    <row r="149" spans="1:51" hidden="1" x14ac:dyDescent="0.2">
      <c r="A149" t="s">
        <v>10</v>
      </c>
      <c r="C149">
        <v>147</v>
      </c>
      <c r="D149">
        <v>13</v>
      </c>
      <c r="E149" t="s">
        <v>233</v>
      </c>
      <c r="F149">
        <v>2014</v>
      </c>
      <c r="H149">
        <v>474373</v>
      </c>
      <c r="I149">
        <v>471370</v>
      </c>
      <c r="J149">
        <v>42738</v>
      </c>
      <c r="K149">
        <v>39992</v>
      </c>
      <c r="L149">
        <v>14493</v>
      </c>
      <c r="M149">
        <v>10289</v>
      </c>
      <c r="N149">
        <v>3622</v>
      </c>
      <c r="O149">
        <v>3529</v>
      </c>
      <c r="P149">
        <v>3458</v>
      </c>
      <c r="Q149">
        <v>2624</v>
      </c>
      <c r="R149">
        <v>1744</v>
      </c>
      <c r="S149">
        <v>1457</v>
      </c>
      <c r="T149">
        <v>1414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1071103</v>
      </c>
    </row>
    <row r="150" spans="1:51" hidden="1" x14ac:dyDescent="0.2">
      <c r="A150" t="s">
        <v>10</v>
      </c>
      <c r="C150">
        <v>148</v>
      </c>
      <c r="D150">
        <v>16</v>
      </c>
      <c r="E150" t="s">
        <v>234</v>
      </c>
      <c r="F150">
        <v>2014</v>
      </c>
      <c r="H150">
        <v>554417</v>
      </c>
      <c r="I150">
        <v>478557</v>
      </c>
      <c r="J150">
        <v>11509</v>
      </c>
      <c r="K150">
        <v>8524</v>
      </c>
      <c r="L150">
        <v>5477</v>
      </c>
      <c r="M150">
        <v>3535</v>
      </c>
      <c r="N150">
        <v>3468</v>
      </c>
      <c r="O150">
        <v>3246</v>
      </c>
      <c r="P150">
        <v>1757</v>
      </c>
      <c r="Q150">
        <v>1656</v>
      </c>
      <c r="R150">
        <v>1458</v>
      </c>
      <c r="S150">
        <v>1261</v>
      </c>
      <c r="T150">
        <v>1187</v>
      </c>
      <c r="U150">
        <v>920</v>
      </c>
      <c r="V150">
        <v>781</v>
      </c>
      <c r="W150">
        <v>775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1078528</v>
      </c>
    </row>
    <row r="151" spans="1:51" hidden="1" x14ac:dyDescent="0.2">
      <c r="A151" t="s">
        <v>10</v>
      </c>
      <c r="C151">
        <v>149</v>
      </c>
      <c r="D151">
        <v>14</v>
      </c>
      <c r="E151" t="s">
        <v>235</v>
      </c>
      <c r="F151">
        <v>2014</v>
      </c>
      <c r="H151">
        <v>571548</v>
      </c>
      <c r="I151">
        <v>454988</v>
      </c>
      <c r="J151">
        <v>10959</v>
      </c>
      <c r="K151">
        <v>10764</v>
      </c>
      <c r="L151">
        <v>7370</v>
      </c>
      <c r="M151">
        <v>7237</v>
      </c>
      <c r="N151">
        <v>4325</v>
      </c>
      <c r="O151">
        <v>3897</v>
      </c>
      <c r="P151">
        <v>2037</v>
      </c>
      <c r="Q151">
        <v>2004</v>
      </c>
      <c r="R151">
        <v>1194</v>
      </c>
      <c r="S151">
        <v>1180</v>
      </c>
      <c r="T151">
        <v>994</v>
      </c>
      <c r="U151">
        <v>813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1079310</v>
      </c>
    </row>
    <row r="152" spans="1:51" hidden="1" x14ac:dyDescent="0.2">
      <c r="A152" t="s">
        <v>10</v>
      </c>
      <c r="C152">
        <v>150</v>
      </c>
      <c r="D152">
        <v>15</v>
      </c>
      <c r="E152" t="s">
        <v>236</v>
      </c>
      <c r="F152">
        <v>2014</v>
      </c>
      <c r="H152">
        <v>471757</v>
      </c>
      <c r="I152">
        <v>401938</v>
      </c>
      <c r="J152">
        <v>57551</v>
      </c>
      <c r="K152">
        <v>8287</v>
      </c>
      <c r="L152">
        <v>4717</v>
      </c>
      <c r="M152">
        <v>3795</v>
      </c>
      <c r="N152">
        <v>2818</v>
      </c>
      <c r="O152">
        <v>2775</v>
      </c>
      <c r="P152">
        <v>2691</v>
      </c>
      <c r="Q152">
        <v>2259</v>
      </c>
      <c r="R152">
        <v>2194</v>
      </c>
      <c r="S152">
        <v>1930</v>
      </c>
      <c r="T152">
        <v>1422</v>
      </c>
      <c r="U152">
        <v>1340</v>
      </c>
      <c r="V152">
        <v>1283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966757</v>
      </c>
    </row>
    <row r="153" spans="1:51" hidden="1" x14ac:dyDescent="0.2">
      <c r="A153" t="s">
        <v>10</v>
      </c>
      <c r="C153">
        <v>151</v>
      </c>
      <c r="D153">
        <v>9</v>
      </c>
      <c r="E153" t="s">
        <v>237</v>
      </c>
      <c r="F153">
        <v>2014</v>
      </c>
      <c r="H153">
        <v>507193</v>
      </c>
      <c r="I153">
        <v>432460</v>
      </c>
      <c r="J153">
        <v>15690</v>
      </c>
      <c r="K153">
        <v>11428</v>
      </c>
      <c r="L153">
        <v>9888</v>
      </c>
      <c r="M153">
        <v>9074</v>
      </c>
      <c r="N153">
        <v>4943</v>
      </c>
      <c r="O153">
        <v>4085</v>
      </c>
      <c r="P153">
        <v>2877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997638</v>
      </c>
    </row>
    <row r="154" spans="1:51" hidden="1" x14ac:dyDescent="0.2">
      <c r="A154" t="s">
        <v>10</v>
      </c>
      <c r="C154">
        <v>152</v>
      </c>
      <c r="D154">
        <v>12</v>
      </c>
      <c r="E154" t="s">
        <v>238</v>
      </c>
      <c r="F154">
        <v>2014</v>
      </c>
      <c r="H154">
        <v>443659</v>
      </c>
      <c r="I154">
        <v>442160</v>
      </c>
      <c r="J154">
        <v>21706</v>
      </c>
      <c r="K154">
        <v>13176</v>
      </c>
      <c r="L154">
        <v>12254</v>
      </c>
      <c r="M154">
        <v>6938</v>
      </c>
      <c r="N154">
        <v>6788</v>
      </c>
      <c r="O154">
        <v>6540</v>
      </c>
      <c r="P154">
        <v>4935</v>
      </c>
      <c r="Q154">
        <v>4234</v>
      </c>
      <c r="R154">
        <v>3618</v>
      </c>
      <c r="S154">
        <v>2881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968889</v>
      </c>
    </row>
    <row r="155" spans="1:51" hidden="1" x14ac:dyDescent="0.2">
      <c r="A155" t="s">
        <v>10</v>
      </c>
      <c r="C155">
        <v>153</v>
      </c>
      <c r="D155">
        <v>25</v>
      </c>
      <c r="E155" t="s">
        <v>239</v>
      </c>
      <c r="F155">
        <v>2014</v>
      </c>
      <c r="H155">
        <v>459290</v>
      </c>
      <c r="I155">
        <v>367068</v>
      </c>
      <c r="J155">
        <v>58728</v>
      </c>
      <c r="K155">
        <v>15079</v>
      </c>
      <c r="L155">
        <v>7118</v>
      </c>
      <c r="M155">
        <v>5818</v>
      </c>
      <c r="N155">
        <v>5097</v>
      </c>
      <c r="O155">
        <v>4540</v>
      </c>
      <c r="P155">
        <v>4379</v>
      </c>
      <c r="Q155">
        <v>3747</v>
      </c>
      <c r="R155">
        <v>2869</v>
      </c>
      <c r="S155">
        <v>2862</v>
      </c>
      <c r="T155">
        <v>2817</v>
      </c>
      <c r="U155">
        <v>2307</v>
      </c>
      <c r="V155">
        <v>2204</v>
      </c>
      <c r="W155">
        <v>2095</v>
      </c>
      <c r="X155">
        <v>1976</v>
      </c>
      <c r="Y155">
        <v>1742</v>
      </c>
      <c r="Z155">
        <v>1462</v>
      </c>
      <c r="AA155">
        <v>1427</v>
      </c>
      <c r="AB155">
        <v>1414</v>
      </c>
      <c r="AC155">
        <v>1406</v>
      </c>
      <c r="AD155">
        <v>1378</v>
      </c>
      <c r="AE155">
        <v>1302</v>
      </c>
      <c r="AF155">
        <v>1259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959384</v>
      </c>
    </row>
    <row r="156" spans="1:51" hidden="1" x14ac:dyDescent="0.2">
      <c r="A156" t="s">
        <v>10</v>
      </c>
      <c r="C156">
        <v>154</v>
      </c>
      <c r="D156">
        <v>17</v>
      </c>
      <c r="E156" t="s">
        <v>240</v>
      </c>
      <c r="F156">
        <v>2014</v>
      </c>
      <c r="H156">
        <v>486383</v>
      </c>
      <c r="I156">
        <v>453969</v>
      </c>
      <c r="J156">
        <v>12947</v>
      </c>
      <c r="K156">
        <v>9529</v>
      </c>
      <c r="L156">
        <v>8292</v>
      </c>
      <c r="M156">
        <v>6300</v>
      </c>
      <c r="N156">
        <v>4433</v>
      </c>
      <c r="O156">
        <v>3425</v>
      </c>
      <c r="P156">
        <v>2894</v>
      </c>
      <c r="Q156">
        <v>2839</v>
      </c>
      <c r="R156">
        <v>2636</v>
      </c>
      <c r="S156">
        <v>2459</v>
      </c>
      <c r="T156">
        <v>2305</v>
      </c>
      <c r="U156">
        <v>2129</v>
      </c>
      <c r="V156">
        <v>2089</v>
      </c>
      <c r="W156">
        <v>2012</v>
      </c>
      <c r="X156">
        <v>1867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1006508</v>
      </c>
    </row>
    <row r="157" spans="1:51" hidden="1" x14ac:dyDescent="0.2">
      <c r="A157" t="s">
        <v>10</v>
      </c>
      <c r="C157">
        <v>155</v>
      </c>
      <c r="D157">
        <v>12</v>
      </c>
      <c r="E157" t="s">
        <v>241</v>
      </c>
      <c r="F157">
        <v>2014</v>
      </c>
      <c r="H157">
        <v>534406</v>
      </c>
      <c r="I157">
        <v>449262</v>
      </c>
      <c r="J157">
        <v>12613</v>
      </c>
      <c r="K157">
        <v>11320</v>
      </c>
      <c r="L157">
        <v>8486</v>
      </c>
      <c r="M157">
        <v>6038</v>
      </c>
      <c r="N157">
        <v>5206</v>
      </c>
      <c r="O157">
        <v>3888</v>
      </c>
      <c r="P157">
        <v>3501</v>
      </c>
      <c r="Q157">
        <v>2456</v>
      </c>
      <c r="R157">
        <v>2042</v>
      </c>
      <c r="S157">
        <v>1997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1041215</v>
      </c>
    </row>
    <row r="158" spans="1:51" hidden="1" x14ac:dyDescent="0.2">
      <c r="A158" t="s">
        <v>10</v>
      </c>
      <c r="C158">
        <v>156</v>
      </c>
      <c r="D158">
        <v>20</v>
      </c>
      <c r="E158" t="s">
        <v>242</v>
      </c>
      <c r="F158">
        <v>2014</v>
      </c>
      <c r="H158">
        <v>566790</v>
      </c>
      <c r="I158">
        <v>479219</v>
      </c>
      <c r="J158">
        <v>15656</v>
      </c>
      <c r="K158">
        <v>9814</v>
      </c>
      <c r="L158">
        <v>7320</v>
      </c>
      <c r="M158">
        <v>6229</v>
      </c>
      <c r="N158">
        <v>5997</v>
      </c>
      <c r="O158">
        <v>3806</v>
      </c>
      <c r="P158">
        <v>3780</v>
      </c>
      <c r="Q158">
        <v>3528</v>
      </c>
      <c r="R158">
        <v>2329</v>
      </c>
      <c r="S158">
        <v>2296</v>
      </c>
      <c r="T158">
        <v>1602</v>
      </c>
      <c r="U158">
        <v>1490</v>
      </c>
      <c r="V158">
        <v>1314</v>
      </c>
      <c r="W158">
        <v>1224</v>
      </c>
      <c r="X158">
        <v>974</v>
      </c>
      <c r="Y158">
        <v>946</v>
      </c>
      <c r="Z158">
        <v>883</v>
      </c>
      <c r="AA158">
        <v>771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1115968</v>
      </c>
    </row>
    <row r="159" spans="1:51" hidden="1" x14ac:dyDescent="0.2">
      <c r="A159" t="s">
        <v>10</v>
      </c>
      <c r="C159">
        <v>157</v>
      </c>
      <c r="D159">
        <v>18</v>
      </c>
      <c r="E159" t="s">
        <v>243</v>
      </c>
      <c r="F159">
        <v>2014</v>
      </c>
      <c r="H159">
        <v>545395</v>
      </c>
      <c r="I159">
        <v>431738</v>
      </c>
      <c r="J159">
        <v>12937</v>
      </c>
      <c r="K159">
        <v>8836</v>
      </c>
      <c r="L159">
        <v>6858</v>
      </c>
      <c r="M159">
        <v>6196</v>
      </c>
      <c r="N159">
        <v>5465</v>
      </c>
      <c r="O159">
        <v>4349</v>
      </c>
      <c r="P159">
        <v>4128</v>
      </c>
      <c r="Q159">
        <v>3018</v>
      </c>
      <c r="R159">
        <v>2359</v>
      </c>
      <c r="S159">
        <v>2174</v>
      </c>
      <c r="T159">
        <v>1785</v>
      </c>
      <c r="U159">
        <v>1587</v>
      </c>
      <c r="V159">
        <v>1368</v>
      </c>
      <c r="W159">
        <v>1053</v>
      </c>
      <c r="X159">
        <v>995</v>
      </c>
      <c r="Y159">
        <v>985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1041226</v>
      </c>
    </row>
    <row r="160" spans="1:51" hidden="1" x14ac:dyDescent="0.2">
      <c r="A160" t="s">
        <v>10</v>
      </c>
      <c r="C160">
        <v>158</v>
      </c>
      <c r="D160">
        <v>10</v>
      </c>
      <c r="E160" t="s">
        <v>244</v>
      </c>
      <c r="F160">
        <v>2014</v>
      </c>
      <c r="H160">
        <v>546939</v>
      </c>
      <c r="I160">
        <v>406239</v>
      </c>
      <c r="J160">
        <v>16277</v>
      </c>
      <c r="K160">
        <v>7404</v>
      </c>
      <c r="L160">
        <v>6281</v>
      </c>
      <c r="M160">
        <v>6215</v>
      </c>
      <c r="N160">
        <v>4246</v>
      </c>
      <c r="O160">
        <v>3565</v>
      </c>
      <c r="P160">
        <v>2032</v>
      </c>
      <c r="Q160">
        <v>1840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1001038</v>
      </c>
    </row>
    <row r="161" spans="1:51" hidden="1" x14ac:dyDescent="0.2">
      <c r="A161" t="s">
        <v>10</v>
      </c>
      <c r="C161">
        <v>159</v>
      </c>
      <c r="D161">
        <v>19</v>
      </c>
      <c r="E161" t="s">
        <v>245</v>
      </c>
      <c r="F161">
        <v>2014</v>
      </c>
      <c r="H161">
        <v>518894</v>
      </c>
      <c r="I161">
        <v>501287</v>
      </c>
      <c r="J161">
        <v>46911</v>
      </c>
      <c r="K161">
        <v>8064</v>
      </c>
      <c r="L161">
        <v>7097</v>
      </c>
      <c r="M161">
        <v>5581</v>
      </c>
      <c r="N161">
        <v>4536</v>
      </c>
      <c r="O161">
        <v>3972</v>
      </c>
      <c r="P161">
        <v>3312</v>
      </c>
      <c r="Q161">
        <v>2732</v>
      </c>
      <c r="R161">
        <v>2582</v>
      </c>
      <c r="S161">
        <v>1582</v>
      </c>
      <c r="T161">
        <v>1332</v>
      </c>
      <c r="U161">
        <v>1331</v>
      </c>
      <c r="V161">
        <v>1226</v>
      </c>
      <c r="W161">
        <v>1216</v>
      </c>
      <c r="X161">
        <v>1145</v>
      </c>
      <c r="Y161">
        <v>1122</v>
      </c>
      <c r="Z161">
        <v>946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1114868</v>
      </c>
    </row>
    <row r="162" spans="1:51" hidden="1" x14ac:dyDescent="0.2">
      <c r="A162" t="s">
        <v>10</v>
      </c>
      <c r="C162">
        <v>160</v>
      </c>
      <c r="D162">
        <v>14</v>
      </c>
      <c r="E162" t="s">
        <v>246</v>
      </c>
      <c r="F162">
        <v>2014</v>
      </c>
      <c r="H162">
        <v>606216</v>
      </c>
      <c r="I162">
        <v>242911</v>
      </c>
      <c r="J162">
        <v>240636</v>
      </c>
      <c r="K162">
        <v>7542</v>
      </c>
      <c r="L162">
        <v>7077</v>
      </c>
      <c r="M162">
        <v>5053</v>
      </c>
      <c r="N162">
        <v>4537</v>
      </c>
      <c r="O162">
        <v>3869</v>
      </c>
      <c r="P162">
        <v>2709</v>
      </c>
      <c r="Q162">
        <v>2234</v>
      </c>
      <c r="R162">
        <v>2073</v>
      </c>
      <c r="S162">
        <v>1517</v>
      </c>
      <c r="T162">
        <v>1339</v>
      </c>
      <c r="U162">
        <v>1295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1129008</v>
      </c>
    </row>
    <row r="163" spans="1:51" hidden="1" x14ac:dyDescent="0.2">
      <c r="A163" t="s">
        <v>10</v>
      </c>
      <c r="C163">
        <v>161</v>
      </c>
      <c r="D163">
        <v>12</v>
      </c>
      <c r="E163" t="s">
        <v>247</v>
      </c>
      <c r="F163">
        <v>2014</v>
      </c>
      <c r="H163">
        <v>581168</v>
      </c>
      <c r="I163">
        <v>399525</v>
      </c>
      <c r="J163">
        <v>14895</v>
      </c>
      <c r="K163">
        <v>9691</v>
      </c>
      <c r="L163">
        <v>7828</v>
      </c>
      <c r="M163">
        <v>7449</v>
      </c>
      <c r="N163">
        <v>6049</v>
      </c>
      <c r="O163">
        <v>1899</v>
      </c>
      <c r="P163">
        <v>1689</v>
      </c>
      <c r="Q163">
        <v>1612</v>
      </c>
      <c r="R163">
        <v>1214</v>
      </c>
      <c r="S163">
        <v>1089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1034108</v>
      </c>
    </row>
    <row r="164" spans="1:51" hidden="1" x14ac:dyDescent="0.2">
      <c r="A164" t="s">
        <v>10</v>
      </c>
      <c r="C164">
        <v>162</v>
      </c>
      <c r="D164">
        <v>15</v>
      </c>
      <c r="E164" t="s">
        <v>248</v>
      </c>
      <c r="F164">
        <v>2014</v>
      </c>
      <c r="H164">
        <v>509841</v>
      </c>
      <c r="I164">
        <v>409379</v>
      </c>
      <c r="J164">
        <v>165688</v>
      </c>
      <c r="K164">
        <v>18905</v>
      </c>
      <c r="L164">
        <v>8018</v>
      </c>
      <c r="M164">
        <v>7334</v>
      </c>
      <c r="N164">
        <v>6798</v>
      </c>
      <c r="O164">
        <v>3841</v>
      </c>
      <c r="P164">
        <v>3536</v>
      </c>
      <c r="Q164">
        <v>3262</v>
      </c>
      <c r="R164">
        <v>3062</v>
      </c>
      <c r="S164">
        <v>2388</v>
      </c>
      <c r="T164">
        <v>2083</v>
      </c>
      <c r="U164">
        <v>1581</v>
      </c>
      <c r="V164">
        <v>1456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1147172</v>
      </c>
    </row>
    <row r="165" spans="1:51" hidden="1" x14ac:dyDescent="0.2">
      <c r="A165" t="s">
        <v>10</v>
      </c>
      <c r="C165">
        <v>163</v>
      </c>
      <c r="D165">
        <v>15</v>
      </c>
      <c r="E165" t="s">
        <v>249</v>
      </c>
      <c r="F165">
        <v>2014</v>
      </c>
      <c r="H165">
        <v>642739</v>
      </c>
      <c r="I165">
        <v>499030</v>
      </c>
      <c r="J165">
        <v>27254</v>
      </c>
      <c r="K165">
        <v>9394</v>
      </c>
      <c r="L165">
        <v>7109</v>
      </c>
      <c r="M165">
        <v>5442</v>
      </c>
      <c r="N165">
        <v>4471</v>
      </c>
      <c r="O165">
        <v>3421</v>
      </c>
      <c r="P165">
        <v>2450</v>
      </c>
      <c r="Q165">
        <v>1613</v>
      </c>
      <c r="R165">
        <v>1116</v>
      </c>
      <c r="S165">
        <v>1072</v>
      </c>
      <c r="T165">
        <v>905</v>
      </c>
      <c r="U165">
        <v>801</v>
      </c>
      <c r="V165">
        <v>657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1207474</v>
      </c>
    </row>
    <row r="166" spans="1:51" hidden="1" x14ac:dyDescent="0.2">
      <c r="A166" t="s">
        <v>10</v>
      </c>
      <c r="C166">
        <v>164</v>
      </c>
      <c r="D166">
        <v>15</v>
      </c>
      <c r="E166" t="s">
        <v>250</v>
      </c>
      <c r="F166">
        <v>2014</v>
      </c>
      <c r="H166">
        <v>467511</v>
      </c>
      <c r="I166">
        <v>366220</v>
      </c>
      <c r="J166">
        <v>202108</v>
      </c>
      <c r="K166">
        <v>14226</v>
      </c>
      <c r="L166">
        <v>9441</v>
      </c>
      <c r="M166">
        <v>8895</v>
      </c>
      <c r="N166">
        <v>4511</v>
      </c>
      <c r="O166">
        <v>3970</v>
      </c>
      <c r="P166">
        <v>3601</v>
      </c>
      <c r="Q166">
        <v>3558</v>
      </c>
      <c r="R166">
        <v>2951</v>
      </c>
      <c r="S166">
        <v>2816</v>
      </c>
      <c r="T166">
        <v>2702</v>
      </c>
      <c r="U166">
        <v>2171</v>
      </c>
      <c r="V166">
        <v>1818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1096499</v>
      </c>
    </row>
    <row r="167" spans="1:51" hidden="1" x14ac:dyDescent="0.2">
      <c r="A167" t="s">
        <v>10</v>
      </c>
      <c r="C167">
        <v>165</v>
      </c>
      <c r="D167">
        <v>17</v>
      </c>
      <c r="E167" t="s">
        <v>251</v>
      </c>
      <c r="F167">
        <v>2014</v>
      </c>
      <c r="H167">
        <v>429868</v>
      </c>
      <c r="I167">
        <v>355827</v>
      </c>
      <c r="J167">
        <v>258683</v>
      </c>
      <c r="K167">
        <v>12934</v>
      </c>
      <c r="L167">
        <v>10448</v>
      </c>
      <c r="M167">
        <v>8322</v>
      </c>
      <c r="N167">
        <v>6301</v>
      </c>
      <c r="O167">
        <v>4732</v>
      </c>
      <c r="P167">
        <v>2390</v>
      </c>
      <c r="Q167">
        <v>2195</v>
      </c>
      <c r="R167">
        <v>1674</v>
      </c>
      <c r="S167">
        <v>1673</v>
      </c>
      <c r="T167">
        <v>1528</v>
      </c>
      <c r="U167">
        <v>1507</v>
      </c>
      <c r="V167">
        <v>1245</v>
      </c>
      <c r="W167">
        <v>1094</v>
      </c>
      <c r="X167">
        <v>1063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1101484</v>
      </c>
    </row>
    <row r="168" spans="1:51" hidden="1" x14ac:dyDescent="0.2">
      <c r="A168" t="s">
        <v>10</v>
      </c>
      <c r="C168">
        <v>166</v>
      </c>
      <c r="D168">
        <v>17</v>
      </c>
      <c r="E168" t="s">
        <v>252</v>
      </c>
      <c r="F168">
        <v>2014</v>
      </c>
      <c r="H168">
        <v>524370</v>
      </c>
      <c r="I168">
        <v>518852</v>
      </c>
      <c r="J168">
        <v>86993</v>
      </c>
      <c r="K168">
        <v>22391</v>
      </c>
      <c r="L168">
        <v>8604</v>
      </c>
      <c r="M168">
        <v>6021</v>
      </c>
      <c r="N168">
        <v>4354</v>
      </c>
      <c r="O168">
        <v>4098</v>
      </c>
      <c r="P168">
        <v>4021</v>
      </c>
      <c r="Q168">
        <v>3070</v>
      </c>
      <c r="R168">
        <v>2163</v>
      </c>
      <c r="S168">
        <v>1643</v>
      </c>
      <c r="T168">
        <v>1423</v>
      </c>
      <c r="U168">
        <v>1179</v>
      </c>
      <c r="V168">
        <v>1172</v>
      </c>
      <c r="W168">
        <v>1165</v>
      </c>
      <c r="X168">
        <v>1119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1192638</v>
      </c>
    </row>
    <row r="169" spans="1:51" hidden="1" x14ac:dyDescent="0.2">
      <c r="A169" t="s">
        <v>10</v>
      </c>
      <c r="C169">
        <v>167</v>
      </c>
      <c r="D169">
        <v>16</v>
      </c>
      <c r="E169" t="s">
        <v>253</v>
      </c>
      <c r="F169">
        <v>2014</v>
      </c>
      <c r="H169">
        <v>503908</v>
      </c>
      <c r="I169">
        <v>472300</v>
      </c>
      <c r="J169">
        <v>138587</v>
      </c>
      <c r="K169">
        <v>13637</v>
      </c>
      <c r="L169">
        <v>8924</v>
      </c>
      <c r="M169">
        <v>5650</v>
      </c>
      <c r="N169">
        <v>3726</v>
      </c>
      <c r="O169">
        <v>2078</v>
      </c>
      <c r="P169">
        <v>2032</v>
      </c>
      <c r="Q169">
        <v>1516</v>
      </c>
      <c r="R169">
        <v>1439</v>
      </c>
      <c r="S169">
        <v>1342</v>
      </c>
      <c r="T169">
        <v>1246</v>
      </c>
      <c r="U169">
        <v>1215</v>
      </c>
      <c r="V169">
        <v>1016</v>
      </c>
      <c r="W169">
        <v>978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1159594</v>
      </c>
    </row>
    <row r="170" spans="1:51" hidden="1" x14ac:dyDescent="0.2">
      <c r="A170" t="s">
        <v>10</v>
      </c>
      <c r="C170">
        <v>168</v>
      </c>
      <c r="D170">
        <v>15</v>
      </c>
      <c r="E170" t="s">
        <v>254</v>
      </c>
      <c r="F170">
        <v>2014</v>
      </c>
      <c r="H170">
        <v>567782</v>
      </c>
      <c r="I170">
        <v>426600</v>
      </c>
      <c r="J170">
        <v>58760</v>
      </c>
      <c r="K170">
        <v>34846</v>
      </c>
      <c r="L170">
        <v>12697</v>
      </c>
      <c r="M170">
        <v>6604</v>
      </c>
      <c r="N170">
        <v>5398</v>
      </c>
      <c r="O170">
        <v>3906</v>
      </c>
      <c r="P170">
        <v>3357</v>
      </c>
      <c r="Q170">
        <v>2762</v>
      </c>
      <c r="R170">
        <v>2492</v>
      </c>
      <c r="S170">
        <v>2043</v>
      </c>
      <c r="T170">
        <v>2008</v>
      </c>
      <c r="U170">
        <v>1949</v>
      </c>
      <c r="V170">
        <v>1825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1133029</v>
      </c>
    </row>
    <row r="171" spans="1:51" hidden="1" x14ac:dyDescent="0.2">
      <c r="A171" t="s">
        <v>10</v>
      </c>
      <c r="C171">
        <v>169</v>
      </c>
      <c r="D171">
        <v>16</v>
      </c>
      <c r="E171" t="s">
        <v>255</v>
      </c>
      <c r="F171">
        <v>2014</v>
      </c>
      <c r="H171">
        <v>652723</v>
      </c>
      <c r="I171">
        <v>421243</v>
      </c>
      <c r="J171">
        <v>317870</v>
      </c>
      <c r="K171">
        <v>17195</v>
      </c>
      <c r="L171">
        <v>11594</v>
      </c>
      <c r="M171">
        <v>9871</v>
      </c>
      <c r="N171">
        <v>6154</v>
      </c>
      <c r="O171">
        <v>5420</v>
      </c>
      <c r="P171">
        <v>2782</v>
      </c>
      <c r="Q171">
        <v>2577</v>
      </c>
      <c r="R171">
        <v>2142</v>
      </c>
      <c r="S171">
        <v>1503</v>
      </c>
      <c r="T171">
        <v>1345</v>
      </c>
      <c r="U171">
        <v>1008</v>
      </c>
      <c r="V171">
        <v>958</v>
      </c>
      <c r="W171">
        <v>859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1455244</v>
      </c>
    </row>
    <row r="172" spans="1:51" hidden="1" x14ac:dyDescent="0.2">
      <c r="A172" t="s">
        <v>10</v>
      </c>
      <c r="C172">
        <v>170</v>
      </c>
      <c r="D172">
        <v>15</v>
      </c>
      <c r="E172" t="s">
        <v>256</v>
      </c>
      <c r="F172">
        <v>2014</v>
      </c>
      <c r="H172">
        <v>718326</v>
      </c>
      <c r="I172">
        <v>488562</v>
      </c>
      <c r="J172">
        <v>92681</v>
      </c>
      <c r="K172">
        <v>28107</v>
      </c>
      <c r="L172">
        <v>11996</v>
      </c>
      <c r="M172">
        <v>5586</v>
      </c>
      <c r="N172">
        <v>3784</v>
      </c>
      <c r="O172">
        <v>1561</v>
      </c>
      <c r="P172">
        <v>1131</v>
      </c>
      <c r="Q172">
        <v>1033</v>
      </c>
      <c r="R172">
        <v>919</v>
      </c>
      <c r="S172">
        <v>911</v>
      </c>
      <c r="T172">
        <v>829</v>
      </c>
      <c r="U172">
        <v>680</v>
      </c>
      <c r="V172">
        <v>612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1356718</v>
      </c>
    </row>
    <row r="173" spans="1:51" hidden="1" x14ac:dyDescent="0.2">
      <c r="A173" t="s">
        <v>10</v>
      </c>
      <c r="C173">
        <v>171</v>
      </c>
      <c r="D173">
        <v>27</v>
      </c>
      <c r="E173" t="s">
        <v>257</v>
      </c>
      <c r="F173">
        <v>2014</v>
      </c>
      <c r="H173">
        <v>557130</v>
      </c>
      <c r="I173">
        <v>419630</v>
      </c>
      <c r="J173">
        <v>39869</v>
      </c>
      <c r="K173">
        <v>20387</v>
      </c>
      <c r="L173">
        <v>8449</v>
      </c>
      <c r="M173">
        <v>5806</v>
      </c>
      <c r="N173">
        <v>3204</v>
      </c>
      <c r="O173">
        <v>2543</v>
      </c>
      <c r="P173">
        <v>2276</v>
      </c>
      <c r="Q173">
        <v>1878</v>
      </c>
      <c r="R173">
        <v>1836</v>
      </c>
      <c r="S173">
        <v>1507</v>
      </c>
      <c r="T173">
        <v>1228</v>
      </c>
      <c r="U173">
        <v>1198</v>
      </c>
      <c r="V173">
        <v>942</v>
      </c>
      <c r="W173">
        <v>903</v>
      </c>
      <c r="X173">
        <v>707</v>
      </c>
      <c r="Y173">
        <v>700</v>
      </c>
      <c r="Z173">
        <v>668</v>
      </c>
      <c r="AA173">
        <v>553</v>
      </c>
      <c r="AB173">
        <v>549</v>
      </c>
      <c r="AC173">
        <v>543</v>
      </c>
      <c r="AD173">
        <v>519</v>
      </c>
      <c r="AE173">
        <v>422</v>
      </c>
      <c r="AF173">
        <v>411</v>
      </c>
      <c r="AG173">
        <v>366</v>
      </c>
      <c r="AH173">
        <v>365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1074589</v>
      </c>
    </row>
    <row r="174" spans="1:51" hidden="1" x14ac:dyDescent="0.2">
      <c r="A174" t="s">
        <v>10</v>
      </c>
      <c r="C174">
        <v>172</v>
      </c>
      <c r="D174">
        <v>24</v>
      </c>
      <c r="E174" t="s">
        <v>258</v>
      </c>
      <c r="F174">
        <v>2014</v>
      </c>
      <c r="H174">
        <v>633816</v>
      </c>
      <c r="I174">
        <v>405241</v>
      </c>
      <c r="J174">
        <v>25677</v>
      </c>
      <c r="K174">
        <v>21403</v>
      </c>
      <c r="L174">
        <v>7414</v>
      </c>
      <c r="M174">
        <v>4247</v>
      </c>
      <c r="N174">
        <v>2747</v>
      </c>
      <c r="O174">
        <v>2325</v>
      </c>
      <c r="P174">
        <v>2061</v>
      </c>
      <c r="Q174">
        <v>929</v>
      </c>
      <c r="R174">
        <v>918</v>
      </c>
      <c r="S174">
        <v>781</v>
      </c>
      <c r="T174">
        <v>736</v>
      </c>
      <c r="U174">
        <v>672</v>
      </c>
      <c r="V174">
        <v>604</v>
      </c>
      <c r="W174">
        <v>586</v>
      </c>
      <c r="X174">
        <v>581</v>
      </c>
      <c r="Y174">
        <v>549</v>
      </c>
      <c r="Z174">
        <v>502</v>
      </c>
      <c r="AA174">
        <v>484</v>
      </c>
      <c r="AB174">
        <v>428</v>
      </c>
      <c r="AC174">
        <v>414</v>
      </c>
      <c r="AD174">
        <v>365</v>
      </c>
      <c r="AE174">
        <v>246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1113726</v>
      </c>
    </row>
    <row r="175" spans="1:51" hidden="1" x14ac:dyDescent="0.2">
      <c r="A175" t="s">
        <v>10</v>
      </c>
      <c r="C175">
        <v>173</v>
      </c>
      <c r="D175">
        <v>20</v>
      </c>
      <c r="E175" t="s">
        <v>259</v>
      </c>
      <c r="F175">
        <v>2014</v>
      </c>
      <c r="H175">
        <v>424800</v>
      </c>
      <c r="I175">
        <v>415280</v>
      </c>
      <c r="J175">
        <v>346339</v>
      </c>
      <c r="K175">
        <v>26071</v>
      </c>
      <c r="L175">
        <v>7682</v>
      </c>
      <c r="M175">
        <v>7127</v>
      </c>
      <c r="N175">
        <v>6827</v>
      </c>
      <c r="O175">
        <v>6279</v>
      </c>
      <c r="P175">
        <v>4689</v>
      </c>
      <c r="Q175">
        <v>3895</v>
      </c>
      <c r="R175">
        <v>3410</v>
      </c>
      <c r="S175">
        <v>1897</v>
      </c>
      <c r="T175">
        <v>1586</v>
      </c>
      <c r="U175">
        <v>1465</v>
      </c>
      <c r="V175">
        <v>1404</v>
      </c>
      <c r="W175">
        <v>1215</v>
      </c>
      <c r="X175">
        <v>931</v>
      </c>
      <c r="Y175">
        <v>892</v>
      </c>
      <c r="Z175">
        <v>799</v>
      </c>
      <c r="AA175">
        <v>686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1263274</v>
      </c>
    </row>
    <row r="176" spans="1:51" hidden="1" x14ac:dyDescent="0.2">
      <c r="A176" t="s">
        <v>10</v>
      </c>
      <c r="C176">
        <v>174</v>
      </c>
      <c r="D176">
        <v>23</v>
      </c>
      <c r="E176" t="s">
        <v>260</v>
      </c>
      <c r="F176">
        <v>2014</v>
      </c>
      <c r="H176">
        <v>418926</v>
      </c>
      <c r="I176">
        <v>371076</v>
      </c>
      <c r="J176">
        <v>267322</v>
      </c>
      <c r="K176">
        <v>17563</v>
      </c>
      <c r="L176">
        <v>6713</v>
      </c>
      <c r="M176">
        <v>6236</v>
      </c>
      <c r="N176">
        <v>5097</v>
      </c>
      <c r="O176">
        <v>4934</v>
      </c>
      <c r="P176">
        <v>4803</v>
      </c>
      <c r="Q176">
        <v>3601</v>
      </c>
      <c r="R176">
        <v>2907</v>
      </c>
      <c r="S176">
        <v>2663</v>
      </c>
      <c r="T176">
        <v>2074</v>
      </c>
      <c r="U176">
        <v>1759</v>
      </c>
      <c r="V176">
        <v>1583</v>
      </c>
      <c r="W176">
        <v>1517</v>
      </c>
      <c r="X176">
        <v>1424</v>
      </c>
      <c r="Y176">
        <v>1398</v>
      </c>
      <c r="Z176">
        <v>1291</v>
      </c>
      <c r="AA176">
        <v>1275</v>
      </c>
      <c r="AB176">
        <v>1144</v>
      </c>
      <c r="AC176">
        <v>1089</v>
      </c>
      <c r="AD176">
        <v>920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1127315</v>
      </c>
    </row>
    <row r="177" spans="1:51" hidden="1" x14ac:dyDescent="0.2">
      <c r="A177" t="s">
        <v>11</v>
      </c>
      <c r="C177">
        <v>175</v>
      </c>
      <c r="D177">
        <v>15</v>
      </c>
      <c r="E177" t="s">
        <v>261</v>
      </c>
      <c r="F177">
        <v>2014</v>
      </c>
      <c r="H177">
        <v>378043</v>
      </c>
      <c r="I177">
        <v>172826</v>
      </c>
      <c r="J177">
        <v>9713</v>
      </c>
      <c r="K177">
        <v>6103</v>
      </c>
      <c r="L177">
        <v>4996</v>
      </c>
      <c r="M177">
        <v>4194</v>
      </c>
      <c r="N177">
        <v>3104</v>
      </c>
      <c r="O177">
        <v>3057</v>
      </c>
      <c r="P177">
        <v>2655</v>
      </c>
      <c r="Q177">
        <v>1222</v>
      </c>
      <c r="R177">
        <v>1002</v>
      </c>
      <c r="S177">
        <v>880</v>
      </c>
      <c r="T177">
        <v>824</v>
      </c>
      <c r="U177">
        <v>755</v>
      </c>
      <c r="V177">
        <v>632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590006</v>
      </c>
    </row>
    <row r="178" spans="1:51" hidden="1" x14ac:dyDescent="0.2">
      <c r="A178" t="s">
        <v>11</v>
      </c>
      <c r="C178">
        <v>176</v>
      </c>
      <c r="D178">
        <v>12</v>
      </c>
      <c r="E178" t="s">
        <v>262</v>
      </c>
      <c r="F178">
        <v>2014</v>
      </c>
      <c r="H178">
        <v>427622</v>
      </c>
      <c r="I178">
        <v>421056</v>
      </c>
      <c r="J178">
        <v>51636</v>
      </c>
      <c r="K178">
        <v>19170</v>
      </c>
      <c r="L178">
        <v>7026</v>
      </c>
      <c r="M178">
        <v>6106</v>
      </c>
      <c r="N178">
        <v>4240</v>
      </c>
      <c r="O178">
        <v>2745</v>
      </c>
      <c r="P178">
        <v>2371</v>
      </c>
      <c r="Q178">
        <v>2109</v>
      </c>
      <c r="R178">
        <v>1536</v>
      </c>
      <c r="S178">
        <v>1500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947117</v>
      </c>
    </row>
    <row r="179" spans="1:51" hidden="1" x14ac:dyDescent="0.2">
      <c r="A179" t="s">
        <v>11</v>
      </c>
      <c r="C179">
        <v>177</v>
      </c>
      <c r="D179">
        <v>12</v>
      </c>
      <c r="E179" t="s">
        <v>263</v>
      </c>
      <c r="F179">
        <v>2014</v>
      </c>
      <c r="H179">
        <v>416479</v>
      </c>
      <c r="I179">
        <v>413173</v>
      </c>
      <c r="J179">
        <v>76313</v>
      </c>
      <c r="K179">
        <v>17229</v>
      </c>
      <c r="L179">
        <v>15058</v>
      </c>
      <c r="M179">
        <v>6245</v>
      </c>
      <c r="N179">
        <v>6107</v>
      </c>
      <c r="O179">
        <v>3485</v>
      </c>
      <c r="P179">
        <v>2150</v>
      </c>
      <c r="Q179">
        <v>1679</v>
      </c>
      <c r="R179">
        <v>731</v>
      </c>
      <c r="S179">
        <v>693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959342</v>
      </c>
    </row>
    <row r="180" spans="1:51" hidden="1" x14ac:dyDescent="0.2">
      <c r="A180" t="s">
        <v>11</v>
      </c>
      <c r="C180">
        <v>178</v>
      </c>
      <c r="D180">
        <v>16</v>
      </c>
      <c r="E180" t="s">
        <v>264</v>
      </c>
      <c r="F180">
        <v>2014</v>
      </c>
      <c r="H180">
        <v>377035</v>
      </c>
      <c r="I180">
        <v>356165</v>
      </c>
      <c r="J180">
        <v>80752</v>
      </c>
      <c r="K180">
        <v>37123</v>
      </c>
      <c r="L180">
        <v>14327</v>
      </c>
      <c r="M180">
        <v>12645</v>
      </c>
      <c r="N180">
        <v>10729</v>
      </c>
      <c r="O180">
        <v>10684</v>
      </c>
      <c r="P180">
        <v>5476</v>
      </c>
      <c r="Q180">
        <v>2855</v>
      </c>
      <c r="R180">
        <v>1517</v>
      </c>
      <c r="S180">
        <v>1317</v>
      </c>
      <c r="T180">
        <v>1308</v>
      </c>
      <c r="U180">
        <v>1222</v>
      </c>
      <c r="V180">
        <v>1103</v>
      </c>
      <c r="W180">
        <v>741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914999</v>
      </c>
    </row>
    <row r="181" spans="1:51" hidden="1" x14ac:dyDescent="0.2">
      <c r="A181" t="s">
        <v>11</v>
      </c>
      <c r="C181">
        <v>179</v>
      </c>
      <c r="D181">
        <v>14</v>
      </c>
      <c r="E181" t="s">
        <v>265</v>
      </c>
      <c r="F181">
        <v>2014</v>
      </c>
      <c r="H181">
        <v>397615</v>
      </c>
      <c r="I181">
        <v>380732</v>
      </c>
      <c r="J181">
        <v>115760</v>
      </c>
      <c r="K181">
        <v>13934</v>
      </c>
      <c r="L181">
        <v>10596</v>
      </c>
      <c r="M181">
        <v>6993</v>
      </c>
      <c r="N181">
        <v>6381</v>
      </c>
      <c r="O181">
        <v>2665</v>
      </c>
      <c r="P181">
        <v>2331</v>
      </c>
      <c r="Q181">
        <v>1991</v>
      </c>
      <c r="R181">
        <v>1909</v>
      </c>
      <c r="S181">
        <v>964</v>
      </c>
      <c r="T181">
        <v>665</v>
      </c>
      <c r="U181">
        <v>473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943009</v>
      </c>
    </row>
    <row r="182" spans="1:51" hidden="1" x14ac:dyDescent="0.2">
      <c r="A182" t="s">
        <v>11</v>
      </c>
      <c r="C182">
        <v>180</v>
      </c>
      <c r="D182">
        <v>11</v>
      </c>
      <c r="E182" t="s">
        <v>266</v>
      </c>
      <c r="F182">
        <v>2014</v>
      </c>
      <c r="H182">
        <v>437723</v>
      </c>
      <c r="I182">
        <v>242984</v>
      </c>
      <c r="J182">
        <v>64705</v>
      </c>
      <c r="K182">
        <v>47853</v>
      </c>
      <c r="L182">
        <v>29216</v>
      </c>
      <c r="M182">
        <v>21829</v>
      </c>
      <c r="N182">
        <v>2745</v>
      </c>
      <c r="O182">
        <v>2491</v>
      </c>
      <c r="P182">
        <v>1376</v>
      </c>
      <c r="Q182">
        <v>1330</v>
      </c>
      <c r="R182">
        <v>1215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853467</v>
      </c>
    </row>
    <row r="183" spans="1:51" hidden="1" x14ac:dyDescent="0.2">
      <c r="A183" t="s">
        <v>11</v>
      </c>
      <c r="C183">
        <v>181</v>
      </c>
      <c r="D183">
        <v>12</v>
      </c>
      <c r="E183" t="s">
        <v>267</v>
      </c>
      <c r="F183">
        <v>2014</v>
      </c>
      <c r="H183">
        <v>378503</v>
      </c>
      <c r="I183">
        <v>353093</v>
      </c>
      <c r="J183">
        <v>75212</v>
      </c>
      <c r="K183">
        <v>26640</v>
      </c>
      <c r="L183">
        <v>11034</v>
      </c>
      <c r="M183">
        <v>9504</v>
      </c>
      <c r="N183">
        <v>7494</v>
      </c>
      <c r="O183">
        <v>2434</v>
      </c>
      <c r="P183">
        <v>2261</v>
      </c>
      <c r="Q183">
        <v>2153</v>
      </c>
      <c r="R183">
        <v>2044</v>
      </c>
      <c r="S183">
        <v>1220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871592</v>
      </c>
    </row>
    <row r="184" spans="1:51" hidden="1" x14ac:dyDescent="0.2">
      <c r="A184" t="s">
        <v>11</v>
      </c>
      <c r="C184">
        <v>182</v>
      </c>
      <c r="D184">
        <v>16</v>
      </c>
      <c r="E184" t="s">
        <v>268</v>
      </c>
      <c r="F184">
        <v>2014</v>
      </c>
      <c r="H184">
        <v>412897</v>
      </c>
      <c r="I184">
        <v>307597</v>
      </c>
      <c r="J184">
        <v>136587</v>
      </c>
      <c r="K184">
        <v>12504</v>
      </c>
      <c r="L184">
        <v>11291</v>
      </c>
      <c r="M184">
        <v>8667</v>
      </c>
      <c r="N184">
        <v>4933</v>
      </c>
      <c r="O184">
        <v>3946</v>
      </c>
      <c r="P184">
        <v>2654</v>
      </c>
      <c r="Q184">
        <v>1963</v>
      </c>
      <c r="R184">
        <v>1946</v>
      </c>
      <c r="S184">
        <v>1416</v>
      </c>
      <c r="T184">
        <v>1231</v>
      </c>
      <c r="U184">
        <v>1092</v>
      </c>
      <c r="V184">
        <v>828</v>
      </c>
      <c r="W184">
        <v>770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910322</v>
      </c>
    </row>
    <row r="185" spans="1:51" hidden="1" x14ac:dyDescent="0.2">
      <c r="A185" t="s">
        <v>11</v>
      </c>
      <c r="C185">
        <v>183</v>
      </c>
      <c r="D185">
        <v>13</v>
      </c>
      <c r="E185" t="s">
        <v>269</v>
      </c>
      <c r="F185">
        <v>2014</v>
      </c>
      <c r="H185">
        <v>411808</v>
      </c>
      <c r="I185">
        <v>374496</v>
      </c>
      <c r="J185">
        <v>87803</v>
      </c>
      <c r="K185">
        <v>21417</v>
      </c>
      <c r="L185">
        <v>7820</v>
      </c>
      <c r="M185">
        <v>5260</v>
      </c>
      <c r="N185">
        <v>4436</v>
      </c>
      <c r="O185">
        <v>4392</v>
      </c>
      <c r="P185">
        <v>2911</v>
      </c>
      <c r="Q185">
        <v>2159</v>
      </c>
      <c r="R185">
        <v>2102</v>
      </c>
      <c r="S185">
        <v>1692</v>
      </c>
      <c r="T185">
        <v>932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927228</v>
      </c>
    </row>
    <row r="186" spans="1:51" hidden="1" x14ac:dyDescent="0.2">
      <c r="A186" t="s">
        <v>11</v>
      </c>
      <c r="C186">
        <v>184</v>
      </c>
      <c r="D186">
        <v>15</v>
      </c>
      <c r="E186" t="s">
        <v>270</v>
      </c>
      <c r="F186">
        <v>2014</v>
      </c>
      <c r="H186">
        <v>389209</v>
      </c>
      <c r="I186">
        <v>350982</v>
      </c>
      <c r="J186">
        <v>102681</v>
      </c>
      <c r="K186">
        <v>44638</v>
      </c>
      <c r="L186">
        <v>10050</v>
      </c>
      <c r="M186">
        <v>6894</v>
      </c>
      <c r="N186">
        <v>6044</v>
      </c>
      <c r="O186">
        <v>3959</v>
      </c>
      <c r="P186">
        <v>2110</v>
      </c>
      <c r="Q186">
        <v>949</v>
      </c>
      <c r="R186">
        <v>718</v>
      </c>
      <c r="S186">
        <v>659</v>
      </c>
      <c r="T186">
        <v>616</v>
      </c>
      <c r="U186">
        <v>546</v>
      </c>
      <c r="V186">
        <v>450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920505</v>
      </c>
    </row>
    <row r="187" spans="1:51" hidden="1" x14ac:dyDescent="0.2">
      <c r="A187" t="s">
        <v>11</v>
      </c>
      <c r="C187">
        <v>185</v>
      </c>
      <c r="D187">
        <v>16</v>
      </c>
      <c r="E187" t="s">
        <v>271</v>
      </c>
      <c r="F187">
        <v>2014</v>
      </c>
      <c r="H187">
        <v>358440</v>
      </c>
      <c r="I187">
        <v>344556</v>
      </c>
      <c r="J187">
        <v>92848</v>
      </c>
      <c r="K187">
        <v>35189</v>
      </c>
      <c r="L187">
        <v>14386</v>
      </c>
      <c r="M187">
        <v>12942</v>
      </c>
      <c r="N187">
        <v>10552</v>
      </c>
      <c r="O187">
        <v>4596</v>
      </c>
      <c r="P187">
        <v>2052</v>
      </c>
      <c r="Q187">
        <v>1942</v>
      </c>
      <c r="R187">
        <v>1376</v>
      </c>
      <c r="S187">
        <v>1346</v>
      </c>
      <c r="T187">
        <v>1114</v>
      </c>
      <c r="U187">
        <v>932</v>
      </c>
      <c r="V187">
        <v>900</v>
      </c>
      <c r="W187">
        <v>862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884033</v>
      </c>
    </row>
    <row r="188" spans="1:51" hidden="1" x14ac:dyDescent="0.2">
      <c r="A188" t="s">
        <v>11</v>
      </c>
      <c r="C188">
        <v>186</v>
      </c>
      <c r="D188">
        <v>17</v>
      </c>
      <c r="E188" t="s">
        <v>272</v>
      </c>
      <c r="F188">
        <v>2014</v>
      </c>
      <c r="H188">
        <v>353841</v>
      </c>
      <c r="I188">
        <v>266794</v>
      </c>
      <c r="J188">
        <v>99003</v>
      </c>
      <c r="K188">
        <v>51517</v>
      </c>
      <c r="L188">
        <v>22733</v>
      </c>
      <c r="M188">
        <v>14825</v>
      </c>
      <c r="N188">
        <v>9735</v>
      </c>
      <c r="O188">
        <v>8246</v>
      </c>
      <c r="P188">
        <v>6156</v>
      </c>
      <c r="Q188">
        <v>5011</v>
      </c>
      <c r="R188">
        <v>2685</v>
      </c>
      <c r="S188">
        <v>2630</v>
      </c>
      <c r="T188">
        <v>2344</v>
      </c>
      <c r="U188">
        <v>2104</v>
      </c>
      <c r="V188">
        <v>1180</v>
      </c>
      <c r="W188">
        <v>1080</v>
      </c>
      <c r="X188">
        <v>950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850834</v>
      </c>
    </row>
    <row r="189" spans="1:51" hidden="1" x14ac:dyDescent="0.2">
      <c r="A189" t="s">
        <v>11</v>
      </c>
      <c r="C189">
        <v>187</v>
      </c>
      <c r="D189">
        <v>17</v>
      </c>
      <c r="E189" t="s">
        <v>273</v>
      </c>
      <c r="F189">
        <v>2014</v>
      </c>
      <c r="H189">
        <v>382019</v>
      </c>
      <c r="I189">
        <v>331477</v>
      </c>
      <c r="J189">
        <v>50438</v>
      </c>
      <c r="K189">
        <v>12338</v>
      </c>
      <c r="L189">
        <v>11215</v>
      </c>
      <c r="M189">
        <v>10401</v>
      </c>
      <c r="N189">
        <v>6024</v>
      </c>
      <c r="O189">
        <v>3971</v>
      </c>
      <c r="P189">
        <v>3057</v>
      </c>
      <c r="Q189">
        <v>2477</v>
      </c>
      <c r="R189">
        <v>1925</v>
      </c>
      <c r="S189">
        <v>1179</v>
      </c>
      <c r="T189">
        <v>1158</v>
      </c>
      <c r="U189">
        <v>629</v>
      </c>
      <c r="V189">
        <v>550</v>
      </c>
      <c r="W189">
        <v>493</v>
      </c>
      <c r="X189">
        <v>415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819766</v>
      </c>
    </row>
    <row r="190" spans="1:51" hidden="1" x14ac:dyDescent="0.2">
      <c r="A190" t="s">
        <v>11</v>
      </c>
      <c r="C190">
        <v>188</v>
      </c>
      <c r="D190">
        <v>12</v>
      </c>
      <c r="E190" t="s">
        <v>274</v>
      </c>
      <c r="F190">
        <v>2014</v>
      </c>
      <c r="H190">
        <v>424194</v>
      </c>
      <c r="I190">
        <v>303595</v>
      </c>
      <c r="J190">
        <v>44357</v>
      </c>
      <c r="K190">
        <v>26381</v>
      </c>
      <c r="L190">
        <v>14024</v>
      </c>
      <c r="M190">
        <v>6732</v>
      </c>
      <c r="N190">
        <v>3513</v>
      </c>
      <c r="O190">
        <v>2879</v>
      </c>
      <c r="P190">
        <v>2157</v>
      </c>
      <c r="Q190">
        <v>1831</v>
      </c>
      <c r="R190">
        <v>1048</v>
      </c>
      <c r="S190">
        <v>925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831636</v>
      </c>
    </row>
    <row r="191" spans="1:51" hidden="1" x14ac:dyDescent="0.2">
      <c r="A191" t="s">
        <v>11</v>
      </c>
      <c r="C191">
        <v>189</v>
      </c>
      <c r="D191">
        <v>14</v>
      </c>
      <c r="E191" t="s">
        <v>275</v>
      </c>
      <c r="F191">
        <v>2014</v>
      </c>
      <c r="H191">
        <v>462525</v>
      </c>
      <c r="I191">
        <v>443118</v>
      </c>
      <c r="J191">
        <v>43051</v>
      </c>
      <c r="K191">
        <v>11338</v>
      </c>
      <c r="L191">
        <v>10993</v>
      </c>
      <c r="M191">
        <v>9414</v>
      </c>
      <c r="N191">
        <v>5921</v>
      </c>
      <c r="O191">
        <v>3385</v>
      </c>
      <c r="P191">
        <v>3149</v>
      </c>
      <c r="Q191">
        <v>1615</v>
      </c>
      <c r="R191">
        <v>1363</v>
      </c>
      <c r="S191">
        <v>709</v>
      </c>
      <c r="T191">
        <v>481</v>
      </c>
      <c r="U191">
        <v>402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997464</v>
      </c>
    </row>
    <row r="192" spans="1:51" hidden="1" x14ac:dyDescent="0.2">
      <c r="A192" t="s">
        <v>11</v>
      </c>
      <c r="C192">
        <v>190</v>
      </c>
      <c r="D192">
        <v>10</v>
      </c>
      <c r="E192" t="s">
        <v>276</v>
      </c>
      <c r="F192">
        <v>2014</v>
      </c>
      <c r="H192">
        <v>402432</v>
      </c>
      <c r="I192">
        <v>369695</v>
      </c>
      <c r="J192">
        <v>79743</v>
      </c>
      <c r="K192">
        <v>9459</v>
      </c>
      <c r="L192">
        <v>8946</v>
      </c>
      <c r="M192">
        <v>7753</v>
      </c>
      <c r="N192">
        <v>4736</v>
      </c>
      <c r="O192">
        <v>3603</v>
      </c>
      <c r="P192">
        <v>1486</v>
      </c>
      <c r="Q192">
        <v>1207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889060</v>
      </c>
    </row>
    <row r="193" spans="1:51" hidden="1" x14ac:dyDescent="0.2">
      <c r="A193" t="s">
        <v>11</v>
      </c>
      <c r="C193">
        <v>191</v>
      </c>
      <c r="D193">
        <v>17</v>
      </c>
      <c r="E193" t="s">
        <v>277</v>
      </c>
      <c r="F193">
        <v>2014</v>
      </c>
      <c r="H193">
        <v>358842</v>
      </c>
      <c r="I193">
        <v>302651</v>
      </c>
      <c r="J193">
        <v>138954</v>
      </c>
      <c r="K193">
        <v>16538</v>
      </c>
      <c r="L193">
        <v>16493</v>
      </c>
      <c r="M193">
        <v>11353</v>
      </c>
      <c r="N193">
        <v>10384</v>
      </c>
      <c r="O193">
        <v>4847</v>
      </c>
      <c r="P193">
        <v>2901</v>
      </c>
      <c r="Q193">
        <v>1236</v>
      </c>
      <c r="R193">
        <v>1021</v>
      </c>
      <c r="S193">
        <v>1005</v>
      </c>
      <c r="T193">
        <v>953</v>
      </c>
      <c r="U193">
        <v>748</v>
      </c>
      <c r="V193">
        <v>682</v>
      </c>
      <c r="W193">
        <v>460</v>
      </c>
      <c r="X193">
        <v>384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869452</v>
      </c>
    </row>
    <row r="194" spans="1:51" hidden="1" x14ac:dyDescent="0.2">
      <c r="A194" t="s">
        <v>11</v>
      </c>
      <c r="C194">
        <v>192</v>
      </c>
      <c r="D194">
        <v>12</v>
      </c>
      <c r="E194" t="s">
        <v>278</v>
      </c>
      <c r="F194">
        <v>2014</v>
      </c>
      <c r="H194">
        <v>408528</v>
      </c>
      <c r="I194">
        <v>370879</v>
      </c>
      <c r="J194">
        <v>58671</v>
      </c>
      <c r="K194">
        <v>12812</v>
      </c>
      <c r="L194">
        <v>7876</v>
      </c>
      <c r="M194">
        <v>4266</v>
      </c>
      <c r="N194">
        <v>3364</v>
      </c>
      <c r="O194">
        <v>3333</v>
      </c>
      <c r="P194">
        <v>3108</v>
      </c>
      <c r="Q194">
        <v>2808</v>
      </c>
      <c r="R194">
        <v>1709</v>
      </c>
      <c r="S194">
        <v>1702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879056</v>
      </c>
    </row>
    <row r="195" spans="1:51" hidden="1" x14ac:dyDescent="0.2">
      <c r="A195" t="s">
        <v>11</v>
      </c>
      <c r="C195">
        <v>193</v>
      </c>
      <c r="D195">
        <v>17</v>
      </c>
      <c r="E195" t="s">
        <v>279</v>
      </c>
      <c r="F195">
        <v>2014</v>
      </c>
      <c r="H195">
        <v>392478</v>
      </c>
      <c r="I195">
        <v>323100</v>
      </c>
      <c r="J195">
        <v>90528</v>
      </c>
      <c r="K195">
        <v>11225</v>
      </c>
      <c r="L195">
        <v>8586</v>
      </c>
      <c r="M195">
        <v>6924</v>
      </c>
      <c r="N195">
        <v>5511</v>
      </c>
      <c r="O195">
        <v>4862</v>
      </c>
      <c r="P195">
        <v>4064</v>
      </c>
      <c r="Q195">
        <v>3850</v>
      </c>
      <c r="R195">
        <v>2375</v>
      </c>
      <c r="S195">
        <v>2221</v>
      </c>
      <c r="T195">
        <v>1052</v>
      </c>
      <c r="U195">
        <v>736</v>
      </c>
      <c r="V195">
        <v>647</v>
      </c>
      <c r="W195">
        <v>615</v>
      </c>
      <c r="X195">
        <v>576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859350</v>
      </c>
    </row>
    <row r="196" spans="1:51" hidden="1" x14ac:dyDescent="0.2">
      <c r="A196" t="s">
        <v>11</v>
      </c>
      <c r="C196">
        <v>194</v>
      </c>
      <c r="D196">
        <v>21</v>
      </c>
      <c r="E196" t="s">
        <v>280</v>
      </c>
      <c r="F196">
        <v>2014</v>
      </c>
      <c r="H196">
        <v>297806</v>
      </c>
      <c r="I196">
        <v>282336</v>
      </c>
      <c r="J196">
        <v>248941</v>
      </c>
      <c r="K196">
        <v>14153</v>
      </c>
      <c r="L196">
        <v>4820</v>
      </c>
      <c r="M196">
        <v>4229</v>
      </c>
      <c r="N196">
        <v>3346</v>
      </c>
      <c r="O196">
        <v>3260</v>
      </c>
      <c r="P196">
        <v>2448</v>
      </c>
      <c r="Q196">
        <v>2103</v>
      </c>
      <c r="R196">
        <v>1851</v>
      </c>
      <c r="S196">
        <v>1716</v>
      </c>
      <c r="T196">
        <v>1689</v>
      </c>
      <c r="U196">
        <v>1271</v>
      </c>
      <c r="V196">
        <v>902</v>
      </c>
      <c r="W196">
        <v>843</v>
      </c>
      <c r="X196">
        <v>447</v>
      </c>
      <c r="Y196">
        <v>371</v>
      </c>
      <c r="Z196">
        <v>356</v>
      </c>
      <c r="AA196">
        <v>292</v>
      </c>
      <c r="AB196">
        <v>261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873441</v>
      </c>
    </row>
    <row r="197" spans="1:51" hidden="1" x14ac:dyDescent="0.2">
      <c r="A197" t="s">
        <v>12</v>
      </c>
      <c r="C197">
        <v>195</v>
      </c>
      <c r="D197">
        <v>18</v>
      </c>
      <c r="E197" t="s">
        <v>281</v>
      </c>
      <c r="F197">
        <v>2014</v>
      </c>
      <c r="H197">
        <v>375567</v>
      </c>
      <c r="I197">
        <v>242586</v>
      </c>
      <c r="J197">
        <v>184253</v>
      </c>
      <c r="K197">
        <v>13806</v>
      </c>
      <c r="L197">
        <v>6471</v>
      </c>
      <c r="M197">
        <v>5554</v>
      </c>
      <c r="N197">
        <v>4792</v>
      </c>
      <c r="O197">
        <v>4347</v>
      </c>
      <c r="P197">
        <v>3546</v>
      </c>
      <c r="Q197">
        <v>3006</v>
      </c>
      <c r="R197">
        <v>2114</v>
      </c>
      <c r="S197">
        <v>1969</v>
      </c>
      <c r="T197">
        <v>1429</v>
      </c>
      <c r="U197">
        <v>1145</v>
      </c>
      <c r="V197">
        <v>1058</v>
      </c>
      <c r="W197">
        <v>975</v>
      </c>
      <c r="X197">
        <v>852</v>
      </c>
      <c r="Y197">
        <v>809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854279</v>
      </c>
    </row>
    <row r="198" spans="1:51" hidden="1" x14ac:dyDescent="0.2">
      <c r="A198" t="s">
        <v>12</v>
      </c>
      <c r="C198">
        <v>196</v>
      </c>
      <c r="D198">
        <v>10</v>
      </c>
      <c r="E198" t="s">
        <v>282</v>
      </c>
      <c r="F198">
        <v>2014</v>
      </c>
      <c r="H198">
        <v>404474</v>
      </c>
      <c r="I198">
        <v>244513</v>
      </c>
      <c r="J198">
        <v>33803</v>
      </c>
      <c r="K198">
        <v>20403</v>
      </c>
      <c r="L198">
        <v>7730</v>
      </c>
      <c r="M198">
        <v>5572</v>
      </c>
      <c r="N198">
        <v>5198</v>
      </c>
      <c r="O198">
        <v>2899</v>
      </c>
      <c r="P198">
        <v>2699</v>
      </c>
      <c r="Q198">
        <v>1793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729084</v>
      </c>
    </row>
    <row r="199" spans="1:51" hidden="1" x14ac:dyDescent="0.2">
      <c r="A199" t="s">
        <v>12</v>
      </c>
      <c r="C199">
        <v>197</v>
      </c>
      <c r="D199">
        <v>22</v>
      </c>
      <c r="E199" t="s">
        <v>283</v>
      </c>
      <c r="F199">
        <v>2014</v>
      </c>
      <c r="H199">
        <v>442796</v>
      </c>
      <c r="I199">
        <v>413097</v>
      </c>
      <c r="J199">
        <v>68196</v>
      </c>
      <c r="K199">
        <v>11510</v>
      </c>
      <c r="L199">
        <v>10297</v>
      </c>
      <c r="M199">
        <v>5327</v>
      </c>
      <c r="N199">
        <v>4969</v>
      </c>
      <c r="O199">
        <v>4719</v>
      </c>
      <c r="P199">
        <v>4219</v>
      </c>
      <c r="Q199">
        <v>3963</v>
      </c>
      <c r="R199">
        <v>2659</v>
      </c>
      <c r="S199">
        <v>2244</v>
      </c>
      <c r="T199">
        <v>2122</v>
      </c>
      <c r="U199">
        <v>2101</v>
      </c>
      <c r="V199">
        <v>2054</v>
      </c>
      <c r="W199">
        <v>1981</v>
      </c>
      <c r="X199">
        <v>1687</v>
      </c>
      <c r="Y199">
        <v>1607</v>
      </c>
      <c r="Z199">
        <v>1477</v>
      </c>
      <c r="AA199">
        <v>1412</v>
      </c>
      <c r="AB199">
        <v>1408</v>
      </c>
      <c r="AC199">
        <v>1067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990912</v>
      </c>
    </row>
    <row r="200" spans="1:51" hidden="1" x14ac:dyDescent="0.2">
      <c r="A200" t="s">
        <v>12</v>
      </c>
      <c r="C200">
        <v>198</v>
      </c>
      <c r="D200">
        <v>12</v>
      </c>
      <c r="E200" t="s">
        <v>284</v>
      </c>
      <c r="F200">
        <v>2014</v>
      </c>
      <c r="H200">
        <v>517036</v>
      </c>
      <c r="I200">
        <v>396244</v>
      </c>
      <c r="J200">
        <v>27412</v>
      </c>
      <c r="K200">
        <v>12481</v>
      </c>
      <c r="L200">
        <v>5575</v>
      </c>
      <c r="M200">
        <v>4073</v>
      </c>
      <c r="N200">
        <v>3294</v>
      </c>
      <c r="O200">
        <v>2845</v>
      </c>
      <c r="P200">
        <v>2197</v>
      </c>
      <c r="Q200">
        <v>2079</v>
      </c>
      <c r="R200">
        <v>2072</v>
      </c>
      <c r="S200">
        <v>1321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976629</v>
      </c>
    </row>
    <row r="201" spans="1:51" hidden="1" x14ac:dyDescent="0.2">
      <c r="A201" t="s">
        <v>12</v>
      </c>
      <c r="C201">
        <v>199</v>
      </c>
      <c r="D201">
        <v>11</v>
      </c>
      <c r="E201" t="s">
        <v>285</v>
      </c>
      <c r="F201">
        <v>2014</v>
      </c>
      <c r="H201">
        <v>482580</v>
      </c>
      <c r="I201">
        <v>361843</v>
      </c>
      <c r="J201">
        <v>19917</v>
      </c>
      <c r="K201">
        <v>9504</v>
      </c>
      <c r="L201">
        <v>6328</v>
      </c>
      <c r="M201">
        <v>3856</v>
      </c>
      <c r="N201">
        <v>2020</v>
      </c>
      <c r="O201">
        <v>1632</v>
      </c>
      <c r="P201">
        <v>1565</v>
      </c>
      <c r="Q201">
        <v>1556</v>
      </c>
      <c r="R201">
        <v>1128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891929</v>
      </c>
    </row>
    <row r="202" spans="1:51" hidden="1" x14ac:dyDescent="0.2">
      <c r="A202" t="s">
        <v>12</v>
      </c>
      <c r="C202">
        <v>200</v>
      </c>
      <c r="D202">
        <v>14</v>
      </c>
      <c r="E202" t="s">
        <v>286</v>
      </c>
      <c r="F202">
        <v>2014</v>
      </c>
      <c r="H202">
        <v>422979</v>
      </c>
      <c r="I202">
        <v>214248</v>
      </c>
      <c r="J202">
        <v>47497</v>
      </c>
      <c r="K202">
        <v>23975</v>
      </c>
      <c r="L202">
        <v>15194</v>
      </c>
      <c r="M202">
        <v>10055</v>
      </c>
      <c r="N202">
        <v>5219</v>
      </c>
      <c r="O202">
        <v>4992</v>
      </c>
      <c r="P202">
        <v>4548</v>
      </c>
      <c r="Q202">
        <v>4400</v>
      </c>
      <c r="R202">
        <v>4035</v>
      </c>
      <c r="S202">
        <v>3855</v>
      </c>
      <c r="T202">
        <v>3094</v>
      </c>
      <c r="U202">
        <v>2230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766321</v>
      </c>
    </row>
    <row r="203" spans="1:51" hidden="1" x14ac:dyDescent="0.2">
      <c r="A203" t="s">
        <v>12</v>
      </c>
      <c r="C203">
        <v>201</v>
      </c>
      <c r="D203">
        <v>11</v>
      </c>
      <c r="E203" t="s">
        <v>287</v>
      </c>
      <c r="F203">
        <v>2014</v>
      </c>
      <c r="H203">
        <v>513079</v>
      </c>
      <c r="I203">
        <v>299780</v>
      </c>
      <c r="J203">
        <v>31519</v>
      </c>
      <c r="K203">
        <v>16350</v>
      </c>
      <c r="L203">
        <v>12600</v>
      </c>
      <c r="M203">
        <v>11298</v>
      </c>
      <c r="N203">
        <v>9343</v>
      </c>
      <c r="O203">
        <v>9266</v>
      </c>
      <c r="P203">
        <v>3429</v>
      </c>
      <c r="Q203">
        <v>2836</v>
      </c>
      <c r="R203">
        <v>2580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912080</v>
      </c>
    </row>
    <row r="204" spans="1:51" hidden="1" x14ac:dyDescent="0.2">
      <c r="A204" t="s">
        <v>12</v>
      </c>
      <c r="C204">
        <v>202</v>
      </c>
      <c r="D204">
        <v>18</v>
      </c>
      <c r="E204" t="s">
        <v>288</v>
      </c>
      <c r="F204">
        <v>2014</v>
      </c>
      <c r="H204">
        <v>474966</v>
      </c>
      <c r="I204">
        <v>227476</v>
      </c>
      <c r="J204">
        <v>60368</v>
      </c>
      <c r="K204">
        <v>40069</v>
      </c>
      <c r="L204">
        <v>13826</v>
      </c>
      <c r="M204">
        <v>10997</v>
      </c>
      <c r="N204">
        <v>8930</v>
      </c>
      <c r="O204">
        <v>7878</v>
      </c>
      <c r="P204">
        <v>5906</v>
      </c>
      <c r="Q204">
        <v>4084</v>
      </c>
      <c r="R204">
        <v>3505</v>
      </c>
      <c r="S204">
        <v>3187</v>
      </c>
      <c r="T204">
        <v>3012</v>
      </c>
      <c r="U204">
        <v>2625</v>
      </c>
      <c r="V204">
        <v>2549</v>
      </c>
      <c r="W204">
        <v>1936</v>
      </c>
      <c r="X204">
        <v>1679</v>
      </c>
      <c r="Y204">
        <v>1484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874477</v>
      </c>
    </row>
    <row r="205" spans="1:51" hidden="1" x14ac:dyDescent="0.2">
      <c r="A205" t="s">
        <v>12</v>
      </c>
      <c r="C205">
        <v>203</v>
      </c>
      <c r="D205">
        <v>15</v>
      </c>
      <c r="E205" t="s">
        <v>289</v>
      </c>
      <c r="F205">
        <v>2014</v>
      </c>
      <c r="H205">
        <v>375288</v>
      </c>
      <c r="I205">
        <v>366600</v>
      </c>
      <c r="J205">
        <v>124602</v>
      </c>
      <c r="K205">
        <v>13036</v>
      </c>
      <c r="L205">
        <v>7986</v>
      </c>
      <c r="M205">
        <v>7925</v>
      </c>
      <c r="N205">
        <v>5305</v>
      </c>
      <c r="O205">
        <v>2253</v>
      </c>
      <c r="P205">
        <v>2155</v>
      </c>
      <c r="Q205">
        <v>2021</v>
      </c>
      <c r="R205">
        <v>1694</v>
      </c>
      <c r="S205">
        <v>1503</v>
      </c>
      <c r="T205">
        <v>1202</v>
      </c>
      <c r="U205">
        <v>950</v>
      </c>
      <c r="V205">
        <v>924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913444</v>
      </c>
    </row>
    <row r="206" spans="1:51" hidden="1" x14ac:dyDescent="0.2">
      <c r="A206" t="s">
        <v>12</v>
      </c>
      <c r="C206">
        <v>204</v>
      </c>
      <c r="D206">
        <v>15</v>
      </c>
      <c r="E206" t="s">
        <v>290</v>
      </c>
      <c r="F206">
        <v>2014</v>
      </c>
      <c r="H206">
        <v>383320</v>
      </c>
      <c r="I206">
        <v>214594</v>
      </c>
      <c r="J206">
        <v>175567</v>
      </c>
      <c r="K206">
        <v>10658</v>
      </c>
      <c r="L206">
        <v>7527</v>
      </c>
      <c r="M206">
        <v>5835</v>
      </c>
      <c r="N206">
        <v>5057</v>
      </c>
      <c r="O206">
        <v>4794</v>
      </c>
      <c r="P206">
        <v>4718</v>
      </c>
      <c r="Q206">
        <v>4389</v>
      </c>
      <c r="R206">
        <v>3608</v>
      </c>
      <c r="S206">
        <v>3260</v>
      </c>
      <c r="T206">
        <v>3164</v>
      </c>
      <c r="U206">
        <v>2055</v>
      </c>
      <c r="V206">
        <v>1456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830002</v>
      </c>
    </row>
    <row r="207" spans="1:51" hidden="1" x14ac:dyDescent="0.2">
      <c r="A207" t="s">
        <v>12</v>
      </c>
      <c r="C207">
        <v>205</v>
      </c>
      <c r="D207">
        <v>15</v>
      </c>
      <c r="E207" t="s">
        <v>291</v>
      </c>
      <c r="F207">
        <v>2014</v>
      </c>
      <c r="H207">
        <v>475678</v>
      </c>
      <c r="I207">
        <v>367632</v>
      </c>
      <c r="J207">
        <v>39387</v>
      </c>
      <c r="K207">
        <v>23298</v>
      </c>
      <c r="L207">
        <v>17350</v>
      </c>
      <c r="M207">
        <v>10725</v>
      </c>
      <c r="N207">
        <v>10037</v>
      </c>
      <c r="O207">
        <v>9691</v>
      </c>
      <c r="P207">
        <v>7579</v>
      </c>
      <c r="Q207">
        <v>6627</v>
      </c>
      <c r="R207">
        <v>5830</v>
      </c>
      <c r="S207">
        <v>5472</v>
      </c>
      <c r="T207">
        <v>4348</v>
      </c>
      <c r="U207">
        <v>3763</v>
      </c>
      <c r="V207">
        <v>1979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989396</v>
      </c>
    </row>
    <row r="208" spans="1:51" hidden="1" x14ac:dyDescent="0.2">
      <c r="A208" t="s">
        <v>12</v>
      </c>
      <c r="C208">
        <v>206</v>
      </c>
      <c r="D208">
        <v>15</v>
      </c>
      <c r="E208" t="s">
        <v>292</v>
      </c>
      <c r="F208">
        <v>2014</v>
      </c>
      <c r="H208">
        <v>525419</v>
      </c>
      <c r="I208">
        <v>284118</v>
      </c>
      <c r="J208">
        <v>27619</v>
      </c>
      <c r="K208">
        <v>21376</v>
      </c>
      <c r="L208">
        <v>20834</v>
      </c>
      <c r="M208">
        <v>20312</v>
      </c>
      <c r="N208">
        <v>19409</v>
      </c>
      <c r="O208">
        <v>8288</v>
      </c>
      <c r="P208">
        <v>7507</v>
      </c>
      <c r="Q208">
        <v>7151</v>
      </c>
      <c r="R208">
        <v>6647</v>
      </c>
      <c r="S208">
        <v>5580</v>
      </c>
      <c r="T208">
        <v>5320</v>
      </c>
      <c r="U208">
        <v>5089</v>
      </c>
      <c r="V208">
        <v>3849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968518</v>
      </c>
    </row>
    <row r="209" spans="1:51" hidden="1" x14ac:dyDescent="0.2">
      <c r="A209" t="s">
        <v>12</v>
      </c>
      <c r="C209">
        <v>207</v>
      </c>
      <c r="D209">
        <v>16</v>
      </c>
      <c r="E209" t="s">
        <v>293</v>
      </c>
      <c r="F209">
        <v>2014</v>
      </c>
      <c r="H209">
        <v>564609</v>
      </c>
      <c r="I209">
        <v>355970</v>
      </c>
      <c r="J209">
        <v>16008</v>
      </c>
      <c r="K209">
        <v>15977</v>
      </c>
      <c r="L209">
        <v>9053</v>
      </c>
      <c r="M209">
        <v>7888</v>
      </c>
      <c r="N209">
        <v>7164</v>
      </c>
      <c r="O209">
        <v>6400</v>
      </c>
      <c r="P209">
        <v>4261</v>
      </c>
      <c r="Q209">
        <v>2990</v>
      </c>
      <c r="R209">
        <v>2797</v>
      </c>
      <c r="S209">
        <v>2234</v>
      </c>
      <c r="T209">
        <v>2007</v>
      </c>
      <c r="U209">
        <v>1852</v>
      </c>
      <c r="V209">
        <v>1562</v>
      </c>
      <c r="W209">
        <v>1412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1002184</v>
      </c>
    </row>
    <row r="210" spans="1:51" hidden="1" x14ac:dyDescent="0.2">
      <c r="A210" t="s">
        <v>12</v>
      </c>
      <c r="C210">
        <v>208</v>
      </c>
      <c r="D210">
        <v>11</v>
      </c>
      <c r="E210" t="s">
        <v>294</v>
      </c>
      <c r="F210">
        <v>2014</v>
      </c>
      <c r="H210">
        <v>585720</v>
      </c>
      <c r="I210">
        <v>475251</v>
      </c>
      <c r="J210">
        <v>56572</v>
      </c>
      <c r="K210">
        <v>28306</v>
      </c>
      <c r="L210">
        <v>21266</v>
      </c>
      <c r="M210">
        <v>11930</v>
      </c>
      <c r="N210">
        <v>11548</v>
      </c>
      <c r="O210">
        <v>11265</v>
      </c>
      <c r="P210">
        <v>6724</v>
      </c>
      <c r="Q210">
        <v>4980</v>
      </c>
      <c r="R210">
        <v>4956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1218518</v>
      </c>
    </row>
    <row r="211" spans="1:51" hidden="1" x14ac:dyDescent="0.2">
      <c r="A211" t="s">
        <v>12</v>
      </c>
      <c r="C211">
        <v>209</v>
      </c>
      <c r="D211">
        <v>17</v>
      </c>
      <c r="E211" t="s">
        <v>295</v>
      </c>
      <c r="F211">
        <v>2014</v>
      </c>
      <c r="H211">
        <v>480594</v>
      </c>
      <c r="I211">
        <v>384553</v>
      </c>
      <c r="J211">
        <v>99392</v>
      </c>
      <c r="K211">
        <v>46345</v>
      </c>
      <c r="L211">
        <v>20297</v>
      </c>
      <c r="M211">
        <v>15801</v>
      </c>
      <c r="N211">
        <v>11767</v>
      </c>
      <c r="O211">
        <v>10444</v>
      </c>
      <c r="P211">
        <v>9898</v>
      </c>
      <c r="Q211">
        <v>6922</v>
      </c>
      <c r="R211">
        <v>6374</v>
      </c>
      <c r="S211">
        <v>4427</v>
      </c>
      <c r="T211">
        <v>4397</v>
      </c>
      <c r="U211">
        <v>3250</v>
      </c>
      <c r="V211">
        <v>3243</v>
      </c>
      <c r="W211">
        <v>3008</v>
      </c>
      <c r="X211">
        <v>2652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1113364</v>
      </c>
    </row>
    <row r="212" spans="1:51" hidden="1" x14ac:dyDescent="0.2">
      <c r="A212" t="s">
        <v>12</v>
      </c>
      <c r="C212">
        <v>210</v>
      </c>
      <c r="D212">
        <v>14</v>
      </c>
      <c r="E212" t="s">
        <v>296</v>
      </c>
      <c r="F212">
        <v>2014</v>
      </c>
      <c r="H212">
        <v>559755</v>
      </c>
      <c r="I212">
        <v>443218</v>
      </c>
      <c r="J212">
        <v>25628</v>
      </c>
      <c r="K212">
        <v>25499</v>
      </c>
      <c r="L212">
        <v>12762</v>
      </c>
      <c r="M212">
        <v>12241</v>
      </c>
      <c r="N212">
        <v>6601</v>
      </c>
      <c r="O212">
        <v>5696</v>
      </c>
      <c r="P212">
        <v>3450</v>
      </c>
      <c r="Q212">
        <v>3117</v>
      </c>
      <c r="R212">
        <v>2872</v>
      </c>
      <c r="S212">
        <v>2484</v>
      </c>
      <c r="T212">
        <v>2140</v>
      </c>
      <c r="U212">
        <v>2035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1107498</v>
      </c>
    </row>
    <row r="213" spans="1:51" hidden="1" x14ac:dyDescent="0.2">
      <c r="A213" t="s">
        <v>12</v>
      </c>
      <c r="C213">
        <v>211</v>
      </c>
      <c r="D213">
        <v>9</v>
      </c>
      <c r="E213" t="s">
        <v>297</v>
      </c>
      <c r="F213">
        <v>2014</v>
      </c>
      <c r="H213">
        <v>669128</v>
      </c>
      <c r="I213">
        <v>279168</v>
      </c>
      <c r="J213">
        <v>18741</v>
      </c>
      <c r="K213">
        <v>17837</v>
      </c>
      <c r="L213">
        <v>14154</v>
      </c>
      <c r="M213">
        <v>13412</v>
      </c>
      <c r="N213">
        <v>7132</v>
      </c>
      <c r="O213">
        <v>6378</v>
      </c>
      <c r="P213">
        <v>5225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1031175</v>
      </c>
    </row>
    <row r="214" spans="1:51" hidden="1" x14ac:dyDescent="0.2">
      <c r="A214" t="s">
        <v>12</v>
      </c>
      <c r="C214">
        <v>212</v>
      </c>
      <c r="D214">
        <v>13</v>
      </c>
      <c r="E214" t="s">
        <v>298</v>
      </c>
      <c r="F214">
        <v>2014</v>
      </c>
      <c r="H214">
        <v>714348</v>
      </c>
      <c r="I214">
        <v>303650</v>
      </c>
      <c r="J214">
        <v>10824</v>
      </c>
      <c r="K214">
        <v>10618</v>
      </c>
      <c r="L214">
        <v>9699</v>
      </c>
      <c r="M214">
        <v>5359</v>
      </c>
      <c r="N214">
        <v>5204</v>
      </c>
      <c r="O214">
        <v>4159</v>
      </c>
      <c r="P214">
        <v>3293</v>
      </c>
      <c r="Q214">
        <v>2200</v>
      </c>
      <c r="R214">
        <v>1761</v>
      </c>
      <c r="S214">
        <v>1270</v>
      </c>
      <c r="T214">
        <v>1088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1073473</v>
      </c>
    </row>
    <row r="215" spans="1:51" hidden="1" x14ac:dyDescent="0.2">
      <c r="A215" t="s">
        <v>12</v>
      </c>
      <c r="C215">
        <v>213</v>
      </c>
      <c r="D215">
        <v>29</v>
      </c>
      <c r="E215" t="s">
        <v>299</v>
      </c>
      <c r="F215">
        <v>2014</v>
      </c>
      <c r="H215">
        <v>714178</v>
      </c>
      <c r="I215">
        <v>343482</v>
      </c>
      <c r="J215">
        <v>21298</v>
      </c>
      <c r="K215">
        <v>10152</v>
      </c>
      <c r="L215">
        <v>7643</v>
      </c>
      <c r="M215">
        <v>5742</v>
      </c>
      <c r="N215">
        <v>5557</v>
      </c>
      <c r="O215">
        <v>5181</v>
      </c>
      <c r="P215">
        <v>1878</v>
      </c>
      <c r="Q215">
        <v>1840</v>
      </c>
      <c r="R215">
        <v>1494</v>
      </c>
      <c r="S215">
        <v>1348</v>
      </c>
      <c r="T215">
        <v>832</v>
      </c>
      <c r="U215">
        <v>796</v>
      </c>
      <c r="V215">
        <v>763</v>
      </c>
      <c r="W215">
        <v>684</v>
      </c>
      <c r="X215">
        <v>681</v>
      </c>
      <c r="Y215">
        <v>628</v>
      </c>
      <c r="Z215">
        <v>625</v>
      </c>
      <c r="AA215">
        <v>622</v>
      </c>
      <c r="AB215">
        <v>620</v>
      </c>
      <c r="AC215">
        <v>614</v>
      </c>
      <c r="AD215">
        <v>570</v>
      </c>
      <c r="AE215">
        <v>569</v>
      </c>
      <c r="AF215">
        <v>551</v>
      </c>
      <c r="AG215">
        <v>523</v>
      </c>
      <c r="AH215">
        <v>465</v>
      </c>
      <c r="AI215">
        <v>425</v>
      </c>
      <c r="AJ215">
        <v>421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1130182</v>
      </c>
    </row>
    <row r="216" spans="1:51" hidden="1" x14ac:dyDescent="0.2">
      <c r="A216" t="s">
        <v>12</v>
      </c>
      <c r="C216">
        <v>214</v>
      </c>
      <c r="D216">
        <v>7</v>
      </c>
      <c r="E216" t="s">
        <v>300</v>
      </c>
      <c r="F216">
        <v>2014</v>
      </c>
      <c r="H216">
        <v>596727</v>
      </c>
      <c r="I216">
        <v>367990</v>
      </c>
      <c r="J216">
        <v>13864</v>
      </c>
      <c r="K216">
        <v>10292</v>
      </c>
      <c r="L216">
        <v>8818</v>
      </c>
      <c r="M216">
        <v>8699</v>
      </c>
      <c r="N216">
        <v>4334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1010724</v>
      </c>
    </row>
    <row r="217" spans="1:51" hidden="1" x14ac:dyDescent="0.2">
      <c r="A217" t="s">
        <v>12</v>
      </c>
      <c r="C217">
        <v>215</v>
      </c>
      <c r="D217">
        <v>12</v>
      </c>
      <c r="E217" t="s">
        <v>301</v>
      </c>
      <c r="F217">
        <v>2014</v>
      </c>
      <c r="H217">
        <v>665646</v>
      </c>
      <c r="I217">
        <v>405333</v>
      </c>
      <c r="J217">
        <v>17238</v>
      </c>
      <c r="K217">
        <v>16376</v>
      </c>
      <c r="L217">
        <v>10253</v>
      </c>
      <c r="M217">
        <v>10113</v>
      </c>
      <c r="N217">
        <v>4862</v>
      </c>
      <c r="O217">
        <v>4659</v>
      </c>
      <c r="P217">
        <v>4216</v>
      </c>
      <c r="Q217">
        <v>2763</v>
      </c>
      <c r="R217">
        <v>1509</v>
      </c>
      <c r="S217">
        <v>1002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1143970</v>
      </c>
    </row>
    <row r="218" spans="1:51" hidden="1" x14ac:dyDescent="0.2">
      <c r="A218" t="s">
        <v>12</v>
      </c>
      <c r="C218">
        <v>216</v>
      </c>
      <c r="D218">
        <v>13</v>
      </c>
      <c r="E218" t="s">
        <v>302</v>
      </c>
      <c r="F218">
        <v>2014</v>
      </c>
      <c r="H218">
        <v>641101</v>
      </c>
      <c r="I218">
        <v>331438</v>
      </c>
      <c r="J218">
        <v>12287</v>
      </c>
      <c r="K218">
        <v>9969</v>
      </c>
      <c r="L218">
        <v>5917</v>
      </c>
      <c r="M218">
        <v>4439</v>
      </c>
      <c r="N218">
        <v>3636</v>
      </c>
      <c r="O218">
        <v>2015</v>
      </c>
      <c r="P218">
        <v>1669</v>
      </c>
      <c r="Q218">
        <v>1257</v>
      </c>
      <c r="R218">
        <v>927</v>
      </c>
      <c r="S218">
        <v>902</v>
      </c>
      <c r="T218">
        <v>848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1016405</v>
      </c>
    </row>
    <row r="219" spans="1:51" hidden="1" x14ac:dyDescent="0.2">
      <c r="A219" t="s">
        <v>12</v>
      </c>
      <c r="C219">
        <v>217</v>
      </c>
      <c r="D219">
        <v>15</v>
      </c>
      <c r="E219" t="s">
        <v>303</v>
      </c>
      <c r="F219">
        <v>2014</v>
      </c>
      <c r="H219">
        <v>698335</v>
      </c>
      <c r="I219">
        <v>394686</v>
      </c>
      <c r="J219">
        <v>10183</v>
      </c>
      <c r="K219">
        <v>8568</v>
      </c>
      <c r="L219">
        <v>8333</v>
      </c>
      <c r="M219">
        <v>8104</v>
      </c>
      <c r="N219">
        <v>7992</v>
      </c>
      <c r="O219">
        <v>7615</v>
      </c>
      <c r="P219">
        <v>3501</v>
      </c>
      <c r="Q219">
        <v>3441</v>
      </c>
      <c r="R219">
        <v>3151</v>
      </c>
      <c r="S219">
        <v>2626</v>
      </c>
      <c r="T219">
        <v>1685</v>
      </c>
      <c r="U219">
        <v>1616</v>
      </c>
      <c r="V219">
        <v>1513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1161349</v>
      </c>
    </row>
    <row r="220" spans="1:51" hidden="1" x14ac:dyDescent="0.2">
      <c r="A220" t="s">
        <v>12</v>
      </c>
      <c r="C220">
        <v>218</v>
      </c>
      <c r="D220">
        <v>11</v>
      </c>
      <c r="E220" t="s">
        <v>304</v>
      </c>
      <c r="F220">
        <v>2014</v>
      </c>
      <c r="H220">
        <v>545980</v>
      </c>
      <c r="I220">
        <v>437523</v>
      </c>
      <c r="J220">
        <v>30364</v>
      </c>
      <c r="K220">
        <v>18485</v>
      </c>
      <c r="L220">
        <v>13116</v>
      </c>
      <c r="M220">
        <v>10979</v>
      </c>
      <c r="N220">
        <v>6638</v>
      </c>
      <c r="O220">
        <v>6085</v>
      </c>
      <c r="P220">
        <v>6078</v>
      </c>
      <c r="Q220">
        <v>3861</v>
      </c>
      <c r="R220">
        <v>3581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1082690</v>
      </c>
    </row>
    <row r="221" spans="1:51" hidden="1" x14ac:dyDescent="0.2">
      <c r="A221" t="s">
        <v>12</v>
      </c>
      <c r="C221">
        <v>219</v>
      </c>
      <c r="D221">
        <v>8</v>
      </c>
      <c r="E221" t="s">
        <v>305</v>
      </c>
      <c r="F221">
        <v>2014</v>
      </c>
      <c r="H221">
        <v>558387</v>
      </c>
      <c r="I221">
        <v>454059</v>
      </c>
      <c r="J221">
        <v>15437</v>
      </c>
      <c r="K221">
        <v>14666</v>
      </c>
      <c r="L221">
        <v>11481</v>
      </c>
      <c r="M221">
        <v>10683</v>
      </c>
      <c r="N221">
        <v>8303</v>
      </c>
      <c r="O221">
        <v>3800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1076816</v>
      </c>
    </row>
    <row r="222" spans="1:51" hidden="1" x14ac:dyDescent="0.2">
      <c r="A222" t="s">
        <v>12</v>
      </c>
      <c r="C222">
        <v>220</v>
      </c>
      <c r="D222">
        <v>22</v>
      </c>
      <c r="E222" t="s">
        <v>306</v>
      </c>
      <c r="F222">
        <v>2014</v>
      </c>
      <c r="H222">
        <v>854972</v>
      </c>
      <c r="I222">
        <v>388071</v>
      </c>
      <c r="J222">
        <v>35169</v>
      </c>
      <c r="K222">
        <v>7422</v>
      </c>
      <c r="L222">
        <v>5944</v>
      </c>
      <c r="M222">
        <v>3862</v>
      </c>
      <c r="N222">
        <v>3725</v>
      </c>
      <c r="O222">
        <v>2528</v>
      </c>
      <c r="P222">
        <v>1867</v>
      </c>
      <c r="Q222">
        <v>1768</v>
      </c>
      <c r="R222">
        <v>1619</v>
      </c>
      <c r="S222">
        <v>1576</v>
      </c>
      <c r="T222">
        <v>1356</v>
      </c>
      <c r="U222">
        <v>1352</v>
      </c>
      <c r="V222">
        <v>981</v>
      </c>
      <c r="W222">
        <v>740</v>
      </c>
      <c r="X222">
        <v>0</v>
      </c>
      <c r="Y222">
        <v>598</v>
      </c>
      <c r="Z222">
        <v>579</v>
      </c>
      <c r="AA222">
        <v>554</v>
      </c>
      <c r="AB222">
        <v>517</v>
      </c>
      <c r="AC222">
        <v>477</v>
      </c>
      <c r="AD222">
        <v>400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1316077</v>
      </c>
    </row>
    <row r="223" spans="1:51" hidden="1" x14ac:dyDescent="0.2">
      <c r="A223" t="s">
        <v>12</v>
      </c>
      <c r="C223">
        <v>221</v>
      </c>
      <c r="D223">
        <v>9</v>
      </c>
      <c r="E223" t="s">
        <v>307</v>
      </c>
      <c r="F223">
        <v>2014</v>
      </c>
      <c r="H223">
        <v>649354</v>
      </c>
      <c r="I223">
        <v>391475</v>
      </c>
      <c r="J223">
        <v>31222</v>
      </c>
      <c r="K223">
        <v>25930</v>
      </c>
      <c r="L223">
        <v>22141</v>
      </c>
      <c r="M223">
        <v>8553</v>
      </c>
      <c r="N223">
        <v>8544</v>
      </c>
      <c r="O223">
        <v>8266</v>
      </c>
      <c r="P223">
        <v>7040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1152525</v>
      </c>
    </row>
    <row r="224" spans="1:51" hidden="1" x14ac:dyDescent="0.2">
      <c r="A224" t="s">
        <v>12</v>
      </c>
      <c r="C224">
        <v>222</v>
      </c>
      <c r="D224">
        <v>15</v>
      </c>
      <c r="E224" t="s">
        <v>308</v>
      </c>
      <c r="F224">
        <v>2014</v>
      </c>
      <c r="H224">
        <v>717357</v>
      </c>
      <c r="I224">
        <v>457643</v>
      </c>
      <c r="J224">
        <v>17149</v>
      </c>
      <c r="K224">
        <v>16799</v>
      </c>
      <c r="L224">
        <v>13691</v>
      </c>
      <c r="M224">
        <v>12036</v>
      </c>
      <c r="N224">
        <v>6226</v>
      </c>
      <c r="O224">
        <v>5307</v>
      </c>
      <c r="P224">
        <v>2429</v>
      </c>
      <c r="Q224">
        <v>2255</v>
      </c>
      <c r="R224">
        <v>1783</v>
      </c>
      <c r="S224">
        <v>1235</v>
      </c>
      <c r="T224">
        <v>1208</v>
      </c>
      <c r="U224">
        <v>1134</v>
      </c>
      <c r="V224">
        <v>1075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1257327</v>
      </c>
    </row>
    <row r="225" spans="1:51" hidden="1" x14ac:dyDescent="0.2">
      <c r="A225" t="s">
        <v>12</v>
      </c>
      <c r="C225">
        <v>223</v>
      </c>
      <c r="D225">
        <v>9</v>
      </c>
      <c r="E225" t="s">
        <v>309</v>
      </c>
      <c r="F225">
        <v>2014</v>
      </c>
      <c r="H225">
        <v>643651</v>
      </c>
      <c r="I225">
        <v>315037</v>
      </c>
      <c r="J225">
        <v>26726</v>
      </c>
      <c r="K225">
        <v>20627</v>
      </c>
      <c r="L225">
        <v>16461</v>
      </c>
      <c r="M225">
        <v>12933</v>
      </c>
      <c r="N225">
        <v>4668</v>
      </c>
      <c r="O225">
        <v>4546</v>
      </c>
      <c r="P225">
        <v>3070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1047719</v>
      </c>
    </row>
    <row r="226" spans="1:51" hidden="1" x14ac:dyDescent="0.2">
      <c r="A226" t="s">
        <v>13</v>
      </c>
      <c r="C226">
        <v>224</v>
      </c>
      <c r="D226">
        <v>10</v>
      </c>
      <c r="E226" t="s">
        <v>310</v>
      </c>
      <c r="F226">
        <v>2014</v>
      </c>
      <c r="H226">
        <v>579486</v>
      </c>
      <c r="I226">
        <v>472581</v>
      </c>
      <c r="J226">
        <v>21178</v>
      </c>
      <c r="K226">
        <v>12133</v>
      </c>
      <c r="L226">
        <v>9184</v>
      </c>
      <c r="M226">
        <v>6004</v>
      </c>
      <c r="N226">
        <v>4712</v>
      </c>
      <c r="O226">
        <v>4389</v>
      </c>
      <c r="P226">
        <v>3511</v>
      </c>
      <c r="Q226">
        <v>3498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1116676</v>
      </c>
    </row>
    <row r="227" spans="1:51" hidden="1" x14ac:dyDescent="0.2">
      <c r="A227" t="s">
        <v>13</v>
      </c>
      <c r="C227">
        <v>225</v>
      </c>
      <c r="D227">
        <v>20</v>
      </c>
      <c r="E227" t="s">
        <v>311</v>
      </c>
      <c r="F227">
        <v>2014</v>
      </c>
      <c r="H227">
        <v>529450</v>
      </c>
      <c r="I227">
        <v>398727</v>
      </c>
      <c r="J227">
        <v>9897</v>
      </c>
      <c r="K227">
        <v>9339</v>
      </c>
      <c r="L227">
        <v>8057</v>
      </c>
      <c r="M227">
        <v>6117</v>
      </c>
      <c r="N227">
        <v>5278</v>
      </c>
      <c r="O227">
        <v>2503</v>
      </c>
      <c r="P227">
        <v>2091</v>
      </c>
      <c r="Q227">
        <v>1600</v>
      </c>
      <c r="R227">
        <v>1545</v>
      </c>
      <c r="S227">
        <v>1355</v>
      </c>
      <c r="T227">
        <v>1149</v>
      </c>
      <c r="U227">
        <v>1148</v>
      </c>
      <c r="V227">
        <v>914</v>
      </c>
      <c r="W227">
        <v>828</v>
      </c>
      <c r="X227">
        <v>792</v>
      </c>
      <c r="Y227">
        <v>788</v>
      </c>
      <c r="Z227">
        <v>765</v>
      </c>
      <c r="AA227">
        <v>740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983083</v>
      </c>
    </row>
    <row r="228" spans="1:51" hidden="1" x14ac:dyDescent="0.2">
      <c r="A228" t="s">
        <v>13</v>
      </c>
      <c r="C228">
        <v>226</v>
      </c>
      <c r="D228">
        <v>21</v>
      </c>
      <c r="E228" t="s">
        <v>312</v>
      </c>
      <c r="F228">
        <v>2014</v>
      </c>
      <c r="H228">
        <v>647773</v>
      </c>
      <c r="I228">
        <v>264248</v>
      </c>
      <c r="J228">
        <v>10838</v>
      </c>
      <c r="K228">
        <v>9614</v>
      </c>
      <c r="L228">
        <v>8140</v>
      </c>
      <c r="M228">
        <v>7390</v>
      </c>
      <c r="N228">
        <v>6157</v>
      </c>
      <c r="O228">
        <v>5801</v>
      </c>
      <c r="P228">
        <v>3998</v>
      </c>
      <c r="Q228">
        <v>3268</v>
      </c>
      <c r="R228">
        <v>3212</v>
      </c>
      <c r="S228">
        <v>2879</v>
      </c>
      <c r="T228">
        <v>2718</v>
      </c>
      <c r="U228">
        <v>2675</v>
      </c>
      <c r="V228">
        <v>2246</v>
      </c>
      <c r="W228">
        <v>1917</v>
      </c>
      <c r="X228">
        <v>1708</v>
      </c>
      <c r="Y228">
        <v>1676</v>
      </c>
      <c r="Z228">
        <v>1579</v>
      </c>
      <c r="AA228">
        <v>1537</v>
      </c>
      <c r="AB228">
        <v>958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990332</v>
      </c>
    </row>
    <row r="229" spans="1:51" hidden="1" x14ac:dyDescent="0.2">
      <c r="A229" t="s">
        <v>13</v>
      </c>
      <c r="C229">
        <v>227</v>
      </c>
      <c r="D229">
        <v>24</v>
      </c>
      <c r="E229" t="s">
        <v>313</v>
      </c>
      <c r="F229">
        <v>2014</v>
      </c>
      <c r="H229">
        <v>605452</v>
      </c>
      <c r="I229">
        <v>287384</v>
      </c>
      <c r="J229">
        <v>29752</v>
      </c>
      <c r="K229">
        <v>21332</v>
      </c>
      <c r="L229">
        <v>14599</v>
      </c>
      <c r="M229">
        <v>8797</v>
      </c>
      <c r="N229">
        <v>4376</v>
      </c>
      <c r="O229">
        <v>4212</v>
      </c>
      <c r="P229">
        <v>4009</v>
      </c>
      <c r="Q229">
        <v>3756</v>
      </c>
      <c r="R229">
        <v>3707</v>
      </c>
      <c r="S229">
        <v>3349</v>
      </c>
      <c r="T229">
        <v>2844</v>
      </c>
      <c r="U229">
        <v>2658</v>
      </c>
      <c r="V229">
        <v>1757</v>
      </c>
      <c r="W229">
        <v>1634</v>
      </c>
      <c r="X229">
        <v>1606</v>
      </c>
      <c r="Y229">
        <v>1375</v>
      </c>
      <c r="Z229">
        <v>1258</v>
      </c>
      <c r="AA229">
        <v>1220</v>
      </c>
      <c r="AB229">
        <v>1206</v>
      </c>
      <c r="AC229">
        <v>1131</v>
      </c>
      <c r="AD229">
        <v>978</v>
      </c>
      <c r="AE229">
        <v>821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1009213</v>
      </c>
    </row>
    <row r="230" spans="1:51" hidden="1" x14ac:dyDescent="0.2">
      <c r="A230" t="s">
        <v>13</v>
      </c>
      <c r="C230">
        <v>228</v>
      </c>
      <c r="D230">
        <v>18</v>
      </c>
      <c r="E230" t="s">
        <v>314</v>
      </c>
      <c r="F230">
        <v>2014</v>
      </c>
      <c r="H230">
        <v>509145</v>
      </c>
      <c r="I230">
        <v>349566</v>
      </c>
      <c r="J230">
        <v>33783</v>
      </c>
      <c r="K230">
        <v>29793</v>
      </c>
      <c r="L230">
        <v>10546</v>
      </c>
      <c r="M230">
        <v>7927</v>
      </c>
      <c r="N230">
        <v>6983</v>
      </c>
      <c r="O230">
        <v>6959</v>
      </c>
      <c r="P230">
        <v>4520</v>
      </c>
      <c r="Q230">
        <v>3429</v>
      </c>
      <c r="R230">
        <v>2750</v>
      </c>
      <c r="S230">
        <v>2448</v>
      </c>
      <c r="T230">
        <v>2077</v>
      </c>
      <c r="U230">
        <v>2006</v>
      </c>
      <c r="V230">
        <v>1917</v>
      </c>
      <c r="W230">
        <v>1787</v>
      </c>
      <c r="X230">
        <v>1725</v>
      </c>
      <c r="Y230">
        <v>1265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978626</v>
      </c>
    </row>
    <row r="231" spans="1:51" hidden="1" x14ac:dyDescent="0.2">
      <c r="A231" t="s">
        <v>13</v>
      </c>
      <c r="C231">
        <v>229</v>
      </c>
      <c r="D231">
        <v>8</v>
      </c>
      <c r="E231" t="s">
        <v>315</v>
      </c>
      <c r="F231">
        <v>2014</v>
      </c>
      <c r="H231">
        <v>456472</v>
      </c>
      <c r="I231">
        <v>253356</v>
      </c>
      <c r="J231">
        <v>238776</v>
      </c>
      <c r="K231">
        <v>8076</v>
      </c>
      <c r="L231">
        <v>7858</v>
      </c>
      <c r="M231">
        <v>6206</v>
      </c>
      <c r="N231">
        <v>3991</v>
      </c>
      <c r="O231">
        <v>3756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978491</v>
      </c>
    </row>
    <row r="232" spans="1:51" hidden="1" x14ac:dyDescent="0.2">
      <c r="A232" t="s">
        <v>13</v>
      </c>
      <c r="C232">
        <v>230</v>
      </c>
      <c r="D232">
        <v>20</v>
      </c>
      <c r="E232" t="s">
        <v>316</v>
      </c>
      <c r="F232">
        <v>2014</v>
      </c>
      <c r="H232">
        <v>467212</v>
      </c>
      <c r="I232">
        <v>329280</v>
      </c>
      <c r="J232">
        <v>98200</v>
      </c>
      <c r="K232">
        <v>54278</v>
      </c>
      <c r="L232">
        <v>10052</v>
      </c>
      <c r="M232">
        <v>7873</v>
      </c>
      <c r="N232">
        <v>6424</v>
      </c>
      <c r="O232">
        <v>5268</v>
      </c>
      <c r="P232">
        <v>4139</v>
      </c>
      <c r="Q232">
        <v>3732</v>
      </c>
      <c r="R232">
        <v>3724</v>
      </c>
      <c r="S232">
        <v>2489</v>
      </c>
      <c r="T232">
        <v>2011</v>
      </c>
      <c r="U232">
        <v>1734</v>
      </c>
      <c r="V232">
        <v>1649</v>
      </c>
      <c r="W232">
        <v>1463</v>
      </c>
      <c r="X232">
        <v>1442</v>
      </c>
      <c r="Y232">
        <v>1312</v>
      </c>
      <c r="Z232">
        <v>970</v>
      </c>
      <c r="AA232">
        <v>809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1004061</v>
      </c>
    </row>
    <row r="233" spans="1:51" hidden="1" x14ac:dyDescent="0.2">
      <c r="A233" t="s">
        <v>13</v>
      </c>
      <c r="C233">
        <v>231</v>
      </c>
      <c r="D233">
        <v>22</v>
      </c>
      <c r="E233" t="s">
        <v>317</v>
      </c>
      <c r="F233">
        <v>2014</v>
      </c>
      <c r="H233">
        <v>537518</v>
      </c>
      <c r="I233">
        <v>321735</v>
      </c>
      <c r="J233">
        <v>90866</v>
      </c>
      <c r="K233">
        <v>15738</v>
      </c>
      <c r="L233">
        <v>6405</v>
      </c>
      <c r="M233">
        <v>5127</v>
      </c>
      <c r="N233">
        <v>4436</v>
      </c>
      <c r="O233">
        <v>3881</v>
      </c>
      <c r="P233">
        <v>3440</v>
      </c>
      <c r="Q233">
        <v>3343</v>
      </c>
      <c r="R233">
        <v>3156</v>
      </c>
      <c r="S233">
        <v>2638</v>
      </c>
      <c r="T233">
        <v>2627</v>
      </c>
      <c r="U233">
        <v>2518</v>
      </c>
      <c r="V233">
        <v>2124</v>
      </c>
      <c r="W233">
        <v>1858</v>
      </c>
      <c r="X233">
        <v>1431</v>
      </c>
      <c r="Y233">
        <v>1245</v>
      </c>
      <c r="Z233">
        <v>1122</v>
      </c>
      <c r="AA233">
        <v>853</v>
      </c>
      <c r="AB233">
        <v>770</v>
      </c>
      <c r="AC233">
        <v>614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1013445</v>
      </c>
    </row>
    <row r="234" spans="1:51" hidden="1" x14ac:dyDescent="0.2">
      <c r="A234" t="s">
        <v>13</v>
      </c>
      <c r="C234">
        <v>232</v>
      </c>
      <c r="D234">
        <v>24</v>
      </c>
      <c r="E234" t="s">
        <v>318</v>
      </c>
      <c r="F234">
        <v>2014</v>
      </c>
      <c r="H234">
        <v>519892</v>
      </c>
      <c r="I234">
        <v>344101</v>
      </c>
      <c r="J234">
        <v>95051</v>
      </c>
      <c r="K234">
        <v>25889</v>
      </c>
      <c r="L234">
        <v>6353</v>
      </c>
      <c r="M234">
        <v>6304</v>
      </c>
      <c r="N234">
        <v>6222</v>
      </c>
      <c r="O234">
        <v>4816</v>
      </c>
      <c r="P234">
        <v>4756</v>
      </c>
      <c r="Q234">
        <v>3999</v>
      </c>
      <c r="R234">
        <v>3634</v>
      </c>
      <c r="S234">
        <v>3419</v>
      </c>
      <c r="T234">
        <v>2925</v>
      </c>
      <c r="U234">
        <v>2841</v>
      </c>
      <c r="V234">
        <v>2682</v>
      </c>
      <c r="W234">
        <v>2640</v>
      </c>
      <c r="X234">
        <v>2537</v>
      </c>
      <c r="Y234">
        <v>2424</v>
      </c>
      <c r="Z234">
        <v>2310</v>
      </c>
      <c r="AA234">
        <v>1735</v>
      </c>
      <c r="AB234">
        <v>1602</v>
      </c>
      <c r="AC234">
        <v>1542</v>
      </c>
      <c r="AD234">
        <v>1453</v>
      </c>
      <c r="AE234">
        <v>1189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1050316</v>
      </c>
    </row>
    <row r="235" spans="1:51" hidden="1" x14ac:dyDescent="0.2">
      <c r="A235" t="s">
        <v>13</v>
      </c>
      <c r="C235">
        <v>233</v>
      </c>
      <c r="D235">
        <v>33</v>
      </c>
      <c r="E235" t="s">
        <v>319</v>
      </c>
      <c r="F235">
        <v>2014</v>
      </c>
      <c r="H235">
        <v>587767</v>
      </c>
      <c r="I235">
        <v>302919</v>
      </c>
      <c r="J235">
        <v>96433</v>
      </c>
      <c r="K235">
        <v>69081</v>
      </c>
      <c r="L235">
        <v>3460</v>
      </c>
      <c r="M235">
        <v>2408</v>
      </c>
      <c r="N235">
        <v>2269</v>
      </c>
      <c r="O235">
        <v>2017</v>
      </c>
      <c r="P235">
        <v>1880</v>
      </c>
      <c r="Q235">
        <v>1366</v>
      </c>
      <c r="R235">
        <v>1262</v>
      </c>
      <c r="S235">
        <v>1187</v>
      </c>
      <c r="T235">
        <v>1077</v>
      </c>
      <c r="U235">
        <v>836</v>
      </c>
      <c r="V235">
        <v>807</v>
      </c>
      <c r="W235">
        <v>784</v>
      </c>
      <c r="X235">
        <v>760</v>
      </c>
      <c r="Y235">
        <v>677</v>
      </c>
      <c r="Z235">
        <v>665</v>
      </c>
      <c r="AA235">
        <v>660</v>
      </c>
      <c r="AB235">
        <v>655</v>
      </c>
      <c r="AC235">
        <v>542</v>
      </c>
      <c r="AD235">
        <v>0</v>
      </c>
      <c r="AE235">
        <v>539</v>
      </c>
      <c r="AF235">
        <v>537</v>
      </c>
      <c r="AG235">
        <v>528</v>
      </c>
      <c r="AH235">
        <v>466</v>
      </c>
      <c r="AI235">
        <v>452</v>
      </c>
      <c r="AJ235">
        <v>439</v>
      </c>
      <c r="AK235">
        <v>426</v>
      </c>
      <c r="AL235">
        <v>419</v>
      </c>
      <c r="AM235">
        <v>415</v>
      </c>
      <c r="AN235">
        <v>390</v>
      </c>
      <c r="AO235">
        <v>373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1084496</v>
      </c>
    </row>
    <row r="236" spans="1:51" hidden="1" x14ac:dyDescent="0.2">
      <c r="A236" t="s">
        <v>13</v>
      </c>
      <c r="C236">
        <v>234</v>
      </c>
      <c r="D236">
        <v>27</v>
      </c>
      <c r="E236" t="s">
        <v>320</v>
      </c>
      <c r="F236">
        <v>2014</v>
      </c>
      <c r="H236">
        <v>606129</v>
      </c>
      <c r="I236">
        <v>456875</v>
      </c>
      <c r="J236">
        <v>50958</v>
      </c>
      <c r="K236">
        <v>10133</v>
      </c>
      <c r="L236">
        <v>10127</v>
      </c>
      <c r="M236">
        <v>9736</v>
      </c>
      <c r="N236">
        <v>8647</v>
      </c>
      <c r="O236">
        <v>6128</v>
      </c>
      <c r="P236">
        <v>5941</v>
      </c>
      <c r="Q236">
        <v>4417</v>
      </c>
      <c r="R236">
        <v>4169</v>
      </c>
      <c r="S236">
        <v>4032</v>
      </c>
      <c r="T236">
        <v>1955</v>
      </c>
      <c r="U236">
        <v>1876</v>
      </c>
      <c r="V236">
        <v>1729</v>
      </c>
      <c r="W236">
        <v>1578</v>
      </c>
      <c r="X236">
        <v>1544</v>
      </c>
      <c r="Y236">
        <v>1542</v>
      </c>
      <c r="Z236">
        <v>1477</v>
      </c>
      <c r="AA236">
        <v>1429</v>
      </c>
      <c r="AB236">
        <v>1380</v>
      </c>
      <c r="AC236">
        <v>1260</v>
      </c>
      <c r="AD236">
        <v>1077</v>
      </c>
      <c r="AE236">
        <v>987</v>
      </c>
      <c r="AF236">
        <v>899</v>
      </c>
      <c r="AG236">
        <v>594</v>
      </c>
      <c r="AH236">
        <v>577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1197196</v>
      </c>
    </row>
    <row r="237" spans="1:51" hidden="1" x14ac:dyDescent="0.2">
      <c r="A237" t="s">
        <v>13</v>
      </c>
      <c r="C237">
        <v>235</v>
      </c>
      <c r="D237">
        <v>12</v>
      </c>
      <c r="E237" t="s">
        <v>321</v>
      </c>
      <c r="F237">
        <v>2014</v>
      </c>
      <c r="H237">
        <v>535982</v>
      </c>
      <c r="I237">
        <v>299112</v>
      </c>
      <c r="J237">
        <v>66906</v>
      </c>
      <c r="K237">
        <v>45458</v>
      </c>
      <c r="L237">
        <v>24488</v>
      </c>
      <c r="M237">
        <v>22512</v>
      </c>
      <c r="N237">
        <v>8156</v>
      </c>
      <c r="O237">
        <v>6606</v>
      </c>
      <c r="P237">
        <v>6470</v>
      </c>
      <c r="Q237">
        <v>4287</v>
      </c>
      <c r="R237">
        <v>3730</v>
      </c>
      <c r="S237">
        <v>3422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1027129</v>
      </c>
    </row>
    <row r="238" spans="1:51" hidden="1" x14ac:dyDescent="0.2">
      <c r="A238" t="s">
        <v>13</v>
      </c>
      <c r="C238">
        <v>236</v>
      </c>
      <c r="D238">
        <v>19</v>
      </c>
      <c r="E238" t="s">
        <v>322</v>
      </c>
      <c r="F238">
        <v>2014</v>
      </c>
      <c r="H238">
        <v>508049</v>
      </c>
      <c r="I238">
        <v>271780</v>
      </c>
      <c r="J238">
        <v>204413</v>
      </c>
      <c r="K238">
        <v>49229</v>
      </c>
      <c r="L238">
        <v>10930</v>
      </c>
      <c r="M238">
        <v>8936</v>
      </c>
      <c r="N238">
        <v>8302</v>
      </c>
      <c r="O238">
        <v>8257</v>
      </c>
      <c r="P238">
        <v>5829</v>
      </c>
      <c r="Q238">
        <v>4850</v>
      </c>
      <c r="R238">
        <v>4341</v>
      </c>
      <c r="S238">
        <v>4176</v>
      </c>
      <c r="T238">
        <v>3879</v>
      </c>
      <c r="U238">
        <v>3772</v>
      </c>
      <c r="V238">
        <v>3216</v>
      </c>
      <c r="W238">
        <v>2736</v>
      </c>
      <c r="X238">
        <v>2693</v>
      </c>
      <c r="Y238">
        <v>2188</v>
      </c>
      <c r="Z238">
        <v>2167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1109743</v>
      </c>
    </row>
    <row r="239" spans="1:51" hidden="1" x14ac:dyDescent="0.2">
      <c r="A239" t="s">
        <v>13</v>
      </c>
      <c r="C239">
        <v>237</v>
      </c>
      <c r="D239">
        <v>27</v>
      </c>
      <c r="E239" t="s">
        <v>323</v>
      </c>
      <c r="F239">
        <v>2014</v>
      </c>
      <c r="H239">
        <v>477905</v>
      </c>
      <c r="I239">
        <v>384089</v>
      </c>
      <c r="J239">
        <v>48981</v>
      </c>
      <c r="K239">
        <v>26194</v>
      </c>
      <c r="L239">
        <v>22143</v>
      </c>
      <c r="M239">
        <v>7482</v>
      </c>
      <c r="N239">
        <v>7166</v>
      </c>
      <c r="O239">
        <v>6423</v>
      </c>
      <c r="P239">
        <v>5672</v>
      </c>
      <c r="Q239">
        <v>5583</v>
      </c>
      <c r="R239">
        <v>4708</v>
      </c>
      <c r="S239">
        <v>4627</v>
      </c>
      <c r="T239">
        <v>3602</v>
      </c>
      <c r="U239">
        <v>3422</v>
      </c>
      <c r="V239">
        <v>3262</v>
      </c>
      <c r="W239">
        <v>2514</v>
      </c>
      <c r="X239">
        <v>2484</v>
      </c>
      <c r="Y239">
        <v>2193</v>
      </c>
      <c r="Z239">
        <v>2177</v>
      </c>
      <c r="AA239">
        <v>2172</v>
      </c>
      <c r="AB239">
        <v>2130</v>
      </c>
      <c r="AC239">
        <v>1911</v>
      </c>
      <c r="AD239">
        <v>1558</v>
      </c>
      <c r="AE239">
        <v>1402</v>
      </c>
      <c r="AF239">
        <v>1218</v>
      </c>
      <c r="AG239">
        <v>1036</v>
      </c>
      <c r="AH239">
        <v>895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1032949</v>
      </c>
    </row>
    <row r="240" spans="1:51" hidden="1" x14ac:dyDescent="0.2">
      <c r="A240" t="s">
        <v>13</v>
      </c>
      <c r="C240">
        <v>238</v>
      </c>
      <c r="D240">
        <v>24</v>
      </c>
      <c r="E240" t="s">
        <v>324</v>
      </c>
      <c r="F240">
        <v>2014</v>
      </c>
      <c r="H240">
        <v>467397</v>
      </c>
      <c r="I240">
        <v>465765</v>
      </c>
      <c r="J240">
        <v>25145</v>
      </c>
      <c r="K240">
        <v>14986</v>
      </c>
      <c r="L240">
        <v>9770</v>
      </c>
      <c r="M240">
        <v>9577</v>
      </c>
      <c r="N240">
        <v>7878</v>
      </c>
      <c r="O240">
        <v>6284</v>
      </c>
      <c r="P240">
        <v>6157</v>
      </c>
      <c r="Q240">
        <v>5000</v>
      </c>
      <c r="R240">
        <v>3729</v>
      </c>
      <c r="S240">
        <v>3522</v>
      </c>
      <c r="T240">
        <v>3165</v>
      </c>
      <c r="U240">
        <v>3107</v>
      </c>
      <c r="V240">
        <v>2514</v>
      </c>
      <c r="W240">
        <v>2506</v>
      </c>
      <c r="X240">
        <v>2497</v>
      </c>
      <c r="Y240">
        <v>2154</v>
      </c>
      <c r="Z240">
        <v>2147</v>
      </c>
      <c r="AA240">
        <v>2049</v>
      </c>
      <c r="AB240">
        <v>1675</v>
      </c>
      <c r="AC240">
        <v>1526</v>
      </c>
      <c r="AD240">
        <v>1322</v>
      </c>
      <c r="AE240">
        <v>1292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1051164</v>
      </c>
    </row>
    <row r="241" spans="1:51" hidden="1" x14ac:dyDescent="0.2">
      <c r="A241" t="s">
        <v>13</v>
      </c>
      <c r="C241">
        <v>239</v>
      </c>
      <c r="D241">
        <v>24</v>
      </c>
      <c r="E241" t="s">
        <v>325</v>
      </c>
      <c r="F241">
        <v>2014</v>
      </c>
      <c r="H241">
        <v>493075</v>
      </c>
      <c r="I241">
        <v>411620</v>
      </c>
      <c r="J241">
        <v>28447</v>
      </c>
      <c r="K241">
        <v>22809</v>
      </c>
      <c r="L241">
        <v>8088</v>
      </c>
      <c r="M241">
        <v>5825</v>
      </c>
      <c r="N241">
        <v>5694</v>
      </c>
      <c r="O241">
        <v>4771</v>
      </c>
      <c r="P241">
        <v>4206</v>
      </c>
      <c r="Q241">
        <v>3397</v>
      </c>
      <c r="R241">
        <v>3155</v>
      </c>
      <c r="S241">
        <v>3067</v>
      </c>
      <c r="T241">
        <v>2882</v>
      </c>
      <c r="U241">
        <v>1993</v>
      </c>
      <c r="V241">
        <v>1753</v>
      </c>
      <c r="W241">
        <v>1724</v>
      </c>
      <c r="X241">
        <v>1667</v>
      </c>
      <c r="Y241">
        <v>1547</v>
      </c>
      <c r="Z241">
        <v>1479</v>
      </c>
      <c r="AA241">
        <v>1473</v>
      </c>
      <c r="AB241">
        <v>1288</v>
      </c>
      <c r="AC241">
        <v>1285</v>
      </c>
      <c r="AD241">
        <v>1065</v>
      </c>
      <c r="AE241">
        <v>1040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1013350</v>
      </c>
    </row>
    <row r="242" spans="1:51" hidden="1" x14ac:dyDescent="0.2">
      <c r="A242" t="s">
        <v>13</v>
      </c>
      <c r="C242">
        <v>240</v>
      </c>
      <c r="D242">
        <v>18</v>
      </c>
      <c r="E242" t="s">
        <v>326</v>
      </c>
      <c r="F242">
        <v>2014</v>
      </c>
      <c r="H242">
        <v>578455</v>
      </c>
      <c r="I242">
        <v>451300</v>
      </c>
      <c r="J242">
        <v>33716</v>
      </c>
      <c r="K242">
        <v>17502</v>
      </c>
      <c r="L242">
        <v>12404</v>
      </c>
      <c r="M242">
        <v>12341</v>
      </c>
      <c r="N242">
        <v>8006</v>
      </c>
      <c r="O242">
        <v>7251</v>
      </c>
      <c r="P242">
        <v>6154</v>
      </c>
      <c r="Q242">
        <v>5836</v>
      </c>
      <c r="R242">
        <v>5507</v>
      </c>
      <c r="S242">
        <v>4781</v>
      </c>
      <c r="T242">
        <v>4449</v>
      </c>
      <c r="U242">
        <v>4103</v>
      </c>
      <c r="V242">
        <v>3120</v>
      </c>
      <c r="W242">
        <v>2947</v>
      </c>
      <c r="X242">
        <v>2492</v>
      </c>
      <c r="Y242">
        <v>1869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1162233</v>
      </c>
    </row>
    <row r="243" spans="1:51" hidden="1" x14ac:dyDescent="0.2">
      <c r="A243" t="s">
        <v>13</v>
      </c>
      <c r="C243">
        <v>241</v>
      </c>
      <c r="D243">
        <v>23</v>
      </c>
      <c r="E243" t="s">
        <v>327</v>
      </c>
      <c r="F243">
        <v>2014</v>
      </c>
      <c r="H243">
        <v>591428</v>
      </c>
      <c r="I243">
        <v>384630</v>
      </c>
      <c r="J243">
        <v>23719</v>
      </c>
      <c r="K243">
        <v>7704</v>
      </c>
      <c r="L243">
        <v>6953</v>
      </c>
      <c r="M243">
        <v>6547</v>
      </c>
      <c r="N243">
        <v>4622</v>
      </c>
      <c r="O243">
        <v>4587</v>
      </c>
      <c r="P243">
        <v>4237</v>
      </c>
      <c r="Q243">
        <v>4128</v>
      </c>
      <c r="R243">
        <v>3469</v>
      </c>
      <c r="S243">
        <v>3283</v>
      </c>
      <c r="T243">
        <v>2874</v>
      </c>
      <c r="U243">
        <v>2467</v>
      </c>
      <c r="V243">
        <v>2462</v>
      </c>
      <c r="W243">
        <v>2240</v>
      </c>
      <c r="X243">
        <v>1967</v>
      </c>
      <c r="Y243">
        <v>1894</v>
      </c>
      <c r="Z243">
        <v>1821</v>
      </c>
      <c r="AA243">
        <v>1655</v>
      </c>
      <c r="AB243">
        <v>1342</v>
      </c>
      <c r="AC243">
        <v>1120</v>
      </c>
      <c r="AD243">
        <v>1110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1066259</v>
      </c>
    </row>
    <row r="244" spans="1:51" hidden="1" x14ac:dyDescent="0.2">
      <c r="A244" t="s">
        <v>13</v>
      </c>
      <c r="C244">
        <v>242</v>
      </c>
      <c r="D244">
        <v>28</v>
      </c>
      <c r="E244" t="s">
        <v>182</v>
      </c>
      <c r="F244">
        <v>2014</v>
      </c>
      <c r="H244">
        <v>520902</v>
      </c>
      <c r="I244">
        <v>358902</v>
      </c>
      <c r="J244">
        <v>37419</v>
      </c>
      <c r="K244">
        <v>11974</v>
      </c>
      <c r="L244">
        <v>6372</v>
      </c>
      <c r="M244">
        <v>6135</v>
      </c>
      <c r="N244">
        <v>5901</v>
      </c>
      <c r="O244">
        <v>3775</v>
      </c>
      <c r="P244">
        <v>2922</v>
      </c>
      <c r="Q244">
        <v>2885</v>
      </c>
      <c r="R244">
        <v>2646</v>
      </c>
      <c r="S244">
        <v>2520</v>
      </c>
      <c r="T244">
        <v>2123</v>
      </c>
      <c r="U244">
        <v>2019</v>
      </c>
      <c r="V244">
        <v>1795</v>
      </c>
      <c r="W244">
        <v>1581</v>
      </c>
      <c r="X244">
        <v>1572</v>
      </c>
      <c r="Y244">
        <v>1530</v>
      </c>
      <c r="Z244">
        <v>1306</v>
      </c>
      <c r="AA244">
        <v>1238</v>
      </c>
      <c r="AB244">
        <v>1201</v>
      </c>
      <c r="AC244">
        <v>1038</v>
      </c>
      <c r="AD244">
        <v>978</v>
      </c>
      <c r="AE244">
        <v>934</v>
      </c>
      <c r="AF244">
        <v>893</v>
      </c>
      <c r="AG244">
        <v>880</v>
      </c>
      <c r="AH244">
        <v>878</v>
      </c>
      <c r="AI244">
        <v>614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982933</v>
      </c>
    </row>
    <row r="245" spans="1:51" hidden="1" x14ac:dyDescent="0.2">
      <c r="A245" t="s">
        <v>13</v>
      </c>
      <c r="C245">
        <v>243</v>
      </c>
      <c r="D245">
        <v>11</v>
      </c>
      <c r="E245" t="s">
        <v>328</v>
      </c>
      <c r="F245">
        <v>2014</v>
      </c>
      <c r="H245">
        <v>542784</v>
      </c>
      <c r="I245">
        <v>295165</v>
      </c>
      <c r="J245">
        <v>72599</v>
      </c>
      <c r="K245">
        <v>17724</v>
      </c>
      <c r="L245">
        <v>10897</v>
      </c>
      <c r="M245">
        <v>10267</v>
      </c>
      <c r="N245">
        <v>5578</v>
      </c>
      <c r="O245">
        <v>5177</v>
      </c>
      <c r="P245">
        <v>4067</v>
      </c>
      <c r="Q245">
        <v>3900</v>
      </c>
      <c r="R245">
        <v>2024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970182</v>
      </c>
    </row>
    <row r="246" spans="1:51" hidden="1" x14ac:dyDescent="0.2">
      <c r="A246" t="s">
        <v>13</v>
      </c>
      <c r="C246">
        <v>244</v>
      </c>
      <c r="D246">
        <v>16</v>
      </c>
      <c r="E246" t="s">
        <v>329</v>
      </c>
      <c r="F246">
        <v>2014</v>
      </c>
      <c r="H246">
        <v>494735</v>
      </c>
      <c r="I246">
        <v>307399</v>
      </c>
      <c r="J246">
        <v>63050</v>
      </c>
      <c r="K246">
        <v>20896</v>
      </c>
      <c r="L246">
        <v>17154</v>
      </c>
      <c r="M246">
        <v>9672</v>
      </c>
      <c r="N246">
        <v>8916</v>
      </c>
      <c r="O246">
        <v>3792</v>
      </c>
      <c r="P246">
        <v>3425</v>
      </c>
      <c r="Q246">
        <v>1666</v>
      </c>
      <c r="R246">
        <v>1580</v>
      </c>
      <c r="S246">
        <v>1253</v>
      </c>
      <c r="T246">
        <v>1204</v>
      </c>
      <c r="U246">
        <v>1121</v>
      </c>
      <c r="V246">
        <v>845</v>
      </c>
      <c r="W246">
        <v>697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937405</v>
      </c>
    </row>
    <row r="247" spans="1:51" hidden="1" x14ac:dyDescent="0.2">
      <c r="A247" t="s">
        <v>13</v>
      </c>
      <c r="C247">
        <v>245</v>
      </c>
      <c r="D247">
        <v>11</v>
      </c>
      <c r="E247" t="s">
        <v>330</v>
      </c>
      <c r="F247">
        <v>2014</v>
      </c>
      <c r="H247">
        <v>533201</v>
      </c>
      <c r="I247">
        <v>293681</v>
      </c>
      <c r="J247">
        <v>76890</v>
      </c>
      <c r="K247">
        <v>21797</v>
      </c>
      <c r="L247">
        <v>16182</v>
      </c>
      <c r="M247">
        <v>12974</v>
      </c>
      <c r="N247">
        <v>10742</v>
      </c>
      <c r="O247">
        <v>8176</v>
      </c>
      <c r="P247">
        <v>7957</v>
      </c>
      <c r="Q247">
        <v>6691</v>
      </c>
      <c r="R247">
        <v>4327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992618</v>
      </c>
    </row>
    <row r="248" spans="1:51" hidden="1" x14ac:dyDescent="0.2">
      <c r="A248" t="s">
        <v>13</v>
      </c>
      <c r="C248">
        <v>246</v>
      </c>
      <c r="D248">
        <v>14</v>
      </c>
      <c r="E248" t="s">
        <v>331</v>
      </c>
      <c r="F248">
        <v>2014</v>
      </c>
      <c r="H248">
        <v>411070</v>
      </c>
      <c r="I248">
        <v>301620</v>
      </c>
      <c r="J248">
        <v>93647</v>
      </c>
      <c r="K248">
        <v>14068</v>
      </c>
      <c r="L248">
        <v>13720</v>
      </c>
      <c r="M248">
        <v>11055</v>
      </c>
      <c r="N248">
        <v>9311</v>
      </c>
      <c r="O248">
        <v>5941</v>
      </c>
      <c r="P248">
        <v>4058</v>
      </c>
      <c r="Q248">
        <v>3058</v>
      </c>
      <c r="R248">
        <v>2435</v>
      </c>
      <c r="S248">
        <v>2126</v>
      </c>
      <c r="T248">
        <v>2120</v>
      </c>
      <c r="U248">
        <v>1376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875605</v>
      </c>
    </row>
    <row r="249" spans="1:51" hidden="1" x14ac:dyDescent="0.2">
      <c r="A249" t="s">
        <v>13</v>
      </c>
      <c r="C249">
        <v>247</v>
      </c>
      <c r="D249">
        <v>19</v>
      </c>
      <c r="E249" t="s">
        <v>332</v>
      </c>
      <c r="F249">
        <v>2014</v>
      </c>
      <c r="H249">
        <v>440892</v>
      </c>
      <c r="I249">
        <v>190143</v>
      </c>
      <c r="J249">
        <v>122349</v>
      </c>
      <c r="K249">
        <v>20347</v>
      </c>
      <c r="L249">
        <v>19643</v>
      </c>
      <c r="M249">
        <v>9185</v>
      </c>
      <c r="N249">
        <v>3531</v>
      </c>
      <c r="O249">
        <v>3047</v>
      </c>
      <c r="P249">
        <v>2467</v>
      </c>
      <c r="Q249">
        <v>2096</v>
      </c>
      <c r="R249">
        <v>1869</v>
      </c>
      <c r="S249">
        <v>1600</v>
      </c>
      <c r="T249">
        <v>1279</v>
      </c>
      <c r="U249">
        <v>1243</v>
      </c>
      <c r="V249">
        <v>1229</v>
      </c>
      <c r="W249">
        <v>1222</v>
      </c>
      <c r="X249">
        <v>788</v>
      </c>
      <c r="Y249">
        <v>726</v>
      </c>
      <c r="Z249">
        <v>540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824196</v>
      </c>
    </row>
    <row r="250" spans="1:51" hidden="1" x14ac:dyDescent="0.2">
      <c r="A250" t="s">
        <v>13</v>
      </c>
      <c r="C250">
        <v>248</v>
      </c>
      <c r="D250">
        <v>27</v>
      </c>
      <c r="E250" t="s">
        <v>333</v>
      </c>
      <c r="F250">
        <v>2014</v>
      </c>
      <c r="H250">
        <v>595364</v>
      </c>
      <c r="I250">
        <v>314065</v>
      </c>
      <c r="J250">
        <v>48863</v>
      </c>
      <c r="K250">
        <v>41535</v>
      </c>
      <c r="L250">
        <v>13174</v>
      </c>
      <c r="M250">
        <v>10982</v>
      </c>
      <c r="N250">
        <v>4022</v>
      </c>
      <c r="O250">
        <v>2479</v>
      </c>
      <c r="P250">
        <v>2412</v>
      </c>
      <c r="Q250">
        <v>2175</v>
      </c>
      <c r="R250">
        <v>2141</v>
      </c>
      <c r="S250">
        <v>1891</v>
      </c>
      <c r="T250">
        <v>1865</v>
      </c>
      <c r="U250">
        <v>1681</v>
      </c>
      <c r="V250">
        <v>1549</v>
      </c>
      <c r="W250">
        <v>1402</v>
      </c>
      <c r="X250">
        <v>1196</v>
      </c>
      <c r="Y250">
        <v>1066</v>
      </c>
      <c r="Z250">
        <v>918</v>
      </c>
      <c r="AA250">
        <v>905</v>
      </c>
      <c r="AB250">
        <v>891</v>
      </c>
      <c r="AC250">
        <v>705</v>
      </c>
      <c r="AD250">
        <v>650</v>
      </c>
      <c r="AE250">
        <v>641</v>
      </c>
      <c r="AF250">
        <v>636</v>
      </c>
      <c r="AG250">
        <v>493</v>
      </c>
      <c r="AH250">
        <v>488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1054189</v>
      </c>
    </row>
    <row r="251" spans="1:51" hidden="1" x14ac:dyDescent="0.2">
      <c r="A251" t="s">
        <v>13</v>
      </c>
      <c r="C251">
        <v>249</v>
      </c>
      <c r="D251">
        <v>22</v>
      </c>
      <c r="E251" t="s">
        <v>334</v>
      </c>
      <c r="F251">
        <v>2014</v>
      </c>
      <c r="H251">
        <v>664004</v>
      </c>
      <c r="I251">
        <v>217422</v>
      </c>
      <c r="J251">
        <v>32364</v>
      </c>
      <c r="K251">
        <v>8758</v>
      </c>
      <c r="L251">
        <v>5506</v>
      </c>
      <c r="M251">
        <v>5438</v>
      </c>
      <c r="N251">
        <v>2078</v>
      </c>
      <c r="O251">
        <v>1650</v>
      </c>
      <c r="P251">
        <v>1612</v>
      </c>
      <c r="Q251">
        <v>1539</v>
      </c>
      <c r="R251">
        <v>796</v>
      </c>
      <c r="S251">
        <v>768</v>
      </c>
      <c r="T251">
        <v>699</v>
      </c>
      <c r="U251">
        <v>653</v>
      </c>
      <c r="V251">
        <v>626</v>
      </c>
      <c r="W251">
        <v>556</v>
      </c>
      <c r="X251">
        <v>462</v>
      </c>
      <c r="Y251">
        <v>394</v>
      </c>
      <c r="Z251">
        <v>331</v>
      </c>
      <c r="AA251">
        <v>327</v>
      </c>
      <c r="AB251">
        <v>301</v>
      </c>
      <c r="AC251">
        <v>278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946562</v>
      </c>
    </row>
    <row r="252" spans="1:51" hidden="1" x14ac:dyDescent="0.2">
      <c r="A252" t="s">
        <v>13</v>
      </c>
      <c r="C252">
        <v>250</v>
      </c>
      <c r="D252">
        <v>15</v>
      </c>
      <c r="E252" t="s">
        <v>335</v>
      </c>
      <c r="F252">
        <v>2014</v>
      </c>
      <c r="H252">
        <v>464820</v>
      </c>
      <c r="I252">
        <v>281792</v>
      </c>
      <c r="J252">
        <v>66088</v>
      </c>
      <c r="K252">
        <v>51860</v>
      </c>
      <c r="L252">
        <v>11009</v>
      </c>
      <c r="M252">
        <v>10275</v>
      </c>
      <c r="N252">
        <v>2006</v>
      </c>
      <c r="O252">
        <v>1530</v>
      </c>
      <c r="P252">
        <v>1366</v>
      </c>
      <c r="Q252">
        <v>1082</v>
      </c>
      <c r="R252">
        <v>1078</v>
      </c>
      <c r="S252">
        <v>888</v>
      </c>
      <c r="T252">
        <v>694</v>
      </c>
      <c r="U252">
        <v>515</v>
      </c>
      <c r="V252">
        <v>514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895517</v>
      </c>
    </row>
    <row r="253" spans="1:51" hidden="1" x14ac:dyDescent="0.2">
      <c r="A253" t="s">
        <v>13</v>
      </c>
      <c r="C253">
        <v>251</v>
      </c>
      <c r="D253">
        <v>20</v>
      </c>
      <c r="E253" t="s">
        <v>336</v>
      </c>
      <c r="F253">
        <v>2014</v>
      </c>
      <c r="H253">
        <v>525285</v>
      </c>
      <c r="I253">
        <v>208163</v>
      </c>
      <c r="J253">
        <v>76451</v>
      </c>
      <c r="K253">
        <v>17427</v>
      </c>
      <c r="L253">
        <v>8833</v>
      </c>
      <c r="M253">
        <v>7114</v>
      </c>
      <c r="N253">
        <v>2784</v>
      </c>
      <c r="O253">
        <v>2752</v>
      </c>
      <c r="P253">
        <v>2243</v>
      </c>
      <c r="Q253">
        <v>1838</v>
      </c>
      <c r="R253">
        <v>1359</v>
      </c>
      <c r="S253">
        <v>1325</v>
      </c>
      <c r="T253">
        <v>1308</v>
      </c>
      <c r="U253">
        <v>1012</v>
      </c>
      <c r="V253">
        <v>902</v>
      </c>
      <c r="W253">
        <v>881</v>
      </c>
      <c r="X253">
        <v>626</v>
      </c>
      <c r="Y253">
        <v>621</v>
      </c>
      <c r="Z253">
        <v>468</v>
      </c>
      <c r="AA253">
        <v>369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861761</v>
      </c>
    </row>
    <row r="254" spans="1:51" hidden="1" x14ac:dyDescent="0.2">
      <c r="A254" t="s">
        <v>13</v>
      </c>
      <c r="C254">
        <v>252</v>
      </c>
      <c r="D254">
        <v>22</v>
      </c>
      <c r="E254" t="s">
        <v>337</v>
      </c>
      <c r="F254">
        <v>2014</v>
      </c>
      <c r="H254">
        <v>478535</v>
      </c>
      <c r="I254">
        <v>291764</v>
      </c>
      <c r="J254">
        <v>34824</v>
      </c>
      <c r="K254">
        <v>10128</v>
      </c>
      <c r="L254">
        <v>9873</v>
      </c>
      <c r="M254">
        <v>6937</v>
      </c>
      <c r="N254">
        <v>2099</v>
      </c>
      <c r="O254">
        <v>1380</v>
      </c>
      <c r="P254">
        <v>1261</v>
      </c>
      <c r="Q254">
        <v>1022</v>
      </c>
      <c r="R254">
        <v>872</v>
      </c>
      <c r="S254">
        <v>858</v>
      </c>
      <c r="T254">
        <v>787</v>
      </c>
      <c r="U254">
        <v>693</v>
      </c>
      <c r="V254">
        <v>657</v>
      </c>
      <c r="W254">
        <v>653</v>
      </c>
      <c r="X254">
        <v>626</v>
      </c>
      <c r="Y254">
        <v>588</v>
      </c>
      <c r="Z254">
        <v>581</v>
      </c>
      <c r="AA254">
        <v>512</v>
      </c>
      <c r="AB254">
        <v>334</v>
      </c>
      <c r="AC254">
        <v>308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845292</v>
      </c>
    </row>
    <row r="255" spans="1:51" hidden="1" x14ac:dyDescent="0.2">
      <c r="A255" t="s">
        <v>13</v>
      </c>
      <c r="C255">
        <v>253</v>
      </c>
      <c r="D255">
        <v>22</v>
      </c>
      <c r="E255" t="s">
        <v>338</v>
      </c>
      <c r="F255">
        <v>2014</v>
      </c>
      <c r="H255">
        <v>381008</v>
      </c>
      <c r="I255">
        <v>242828</v>
      </c>
      <c r="J255">
        <v>73096</v>
      </c>
      <c r="K255">
        <v>27687</v>
      </c>
      <c r="L255">
        <v>14762</v>
      </c>
      <c r="M255">
        <v>9571</v>
      </c>
      <c r="N255">
        <v>5573</v>
      </c>
      <c r="O255">
        <v>1588</v>
      </c>
      <c r="P255">
        <v>1430</v>
      </c>
      <c r="Q255">
        <v>1338</v>
      </c>
      <c r="R255">
        <v>1212</v>
      </c>
      <c r="S255">
        <v>1183</v>
      </c>
      <c r="T255">
        <v>1083</v>
      </c>
      <c r="U255">
        <v>1016</v>
      </c>
      <c r="V255">
        <v>919</v>
      </c>
      <c r="W255">
        <v>918</v>
      </c>
      <c r="X255">
        <v>799</v>
      </c>
      <c r="Y255">
        <v>686</v>
      </c>
      <c r="Z255">
        <v>545</v>
      </c>
      <c r="AA255">
        <v>514</v>
      </c>
      <c r="AB255">
        <v>453</v>
      </c>
      <c r="AC255">
        <v>418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768627</v>
      </c>
    </row>
    <row r="256" spans="1:51" hidden="1" x14ac:dyDescent="0.2">
      <c r="A256" t="s">
        <v>13</v>
      </c>
      <c r="C256">
        <v>254</v>
      </c>
      <c r="D256">
        <v>21</v>
      </c>
      <c r="E256" t="s">
        <v>339</v>
      </c>
      <c r="F256">
        <v>2014</v>
      </c>
      <c r="H256">
        <v>374609</v>
      </c>
      <c r="I256">
        <v>246045</v>
      </c>
      <c r="J256">
        <v>84773</v>
      </c>
      <c r="K256">
        <v>40298</v>
      </c>
      <c r="L256">
        <v>9573</v>
      </c>
      <c r="M256">
        <v>6897</v>
      </c>
      <c r="N256">
        <v>6664</v>
      </c>
      <c r="O256">
        <v>1324</v>
      </c>
      <c r="P256">
        <v>1266</v>
      </c>
      <c r="Q256">
        <v>1077</v>
      </c>
      <c r="R256">
        <v>1059</v>
      </c>
      <c r="S256">
        <v>917</v>
      </c>
      <c r="T256">
        <v>764</v>
      </c>
      <c r="U256">
        <v>701</v>
      </c>
      <c r="V256">
        <v>677</v>
      </c>
      <c r="W256">
        <v>674</v>
      </c>
      <c r="X256">
        <v>595</v>
      </c>
      <c r="Y256">
        <v>559</v>
      </c>
      <c r="Z256">
        <v>455</v>
      </c>
      <c r="AA256">
        <v>414</v>
      </c>
      <c r="AB256">
        <v>400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779741</v>
      </c>
    </row>
    <row r="257" spans="1:51" hidden="1" x14ac:dyDescent="0.2">
      <c r="A257" t="s">
        <v>13</v>
      </c>
      <c r="C257">
        <v>255</v>
      </c>
      <c r="D257">
        <v>11</v>
      </c>
      <c r="E257" t="s">
        <v>340</v>
      </c>
      <c r="F257">
        <v>2014</v>
      </c>
      <c r="H257">
        <v>396178</v>
      </c>
      <c r="I257">
        <v>394068</v>
      </c>
      <c r="J257">
        <v>129730</v>
      </c>
      <c r="K257">
        <v>20362</v>
      </c>
      <c r="L257">
        <v>10510</v>
      </c>
      <c r="M257">
        <v>9952</v>
      </c>
      <c r="N257">
        <v>9849</v>
      </c>
      <c r="O257">
        <v>6759</v>
      </c>
      <c r="P257">
        <v>4287</v>
      </c>
      <c r="Q257">
        <v>3308</v>
      </c>
      <c r="R257">
        <v>2763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987766</v>
      </c>
    </row>
    <row r="258" spans="1:51" hidden="1" x14ac:dyDescent="0.2">
      <c r="A258" t="s">
        <v>13</v>
      </c>
      <c r="C258">
        <v>256</v>
      </c>
      <c r="D258">
        <v>20</v>
      </c>
      <c r="E258" t="s">
        <v>341</v>
      </c>
      <c r="F258">
        <v>2014</v>
      </c>
      <c r="H258">
        <v>512226</v>
      </c>
      <c r="I258">
        <v>354829</v>
      </c>
      <c r="J258">
        <v>182293</v>
      </c>
      <c r="K258">
        <v>30566</v>
      </c>
      <c r="L258">
        <v>25982</v>
      </c>
      <c r="M258">
        <v>11259</v>
      </c>
      <c r="N258">
        <v>11186</v>
      </c>
      <c r="O258">
        <v>8940</v>
      </c>
      <c r="P258">
        <v>8765</v>
      </c>
      <c r="Q258">
        <v>4311</v>
      </c>
      <c r="R258">
        <v>4276</v>
      </c>
      <c r="S258">
        <v>3429</v>
      </c>
      <c r="T258">
        <v>2911</v>
      </c>
      <c r="U258">
        <v>2536</v>
      </c>
      <c r="V258">
        <v>2336</v>
      </c>
      <c r="W258">
        <v>2024</v>
      </c>
      <c r="X258">
        <v>2016</v>
      </c>
      <c r="Y258">
        <v>1765</v>
      </c>
      <c r="Z258">
        <v>1600</v>
      </c>
      <c r="AA258">
        <v>1085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1174335</v>
      </c>
    </row>
    <row r="259" spans="1:51" hidden="1" x14ac:dyDescent="0.2">
      <c r="A259" t="s">
        <v>13</v>
      </c>
      <c r="C259">
        <v>257</v>
      </c>
      <c r="D259">
        <v>30</v>
      </c>
      <c r="E259" t="s">
        <v>342</v>
      </c>
      <c r="F259">
        <v>2014</v>
      </c>
      <c r="H259">
        <v>569825</v>
      </c>
      <c r="I259">
        <v>254056</v>
      </c>
      <c r="J259">
        <v>93502</v>
      </c>
      <c r="K259">
        <v>28657</v>
      </c>
      <c r="L259">
        <v>14727</v>
      </c>
      <c r="M259">
        <v>7222</v>
      </c>
      <c r="N259">
        <v>6438</v>
      </c>
      <c r="O259">
        <v>2259</v>
      </c>
      <c r="P259">
        <v>1886</v>
      </c>
      <c r="Q259">
        <v>1797</v>
      </c>
      <c r="R259">
        <v>1324</v>
      </c>
      <c r="S259">
        <v>1230</v>
      </c>
      <c r="T259">
        <v>1131</v>
      </c>
      <c r="U259">
        <v>1028</v>
      </c>
      <c r="V259">
        <v>868</v>
      </c>
      <c r="W259">
        <v>840</v>
      </c>
      <c r="X259">
        <v>693</v>
      </c>
      <c r="Y259">
        <v>590</v>
      </c>
      <c r="Z259">
        <v>586</v>
      </c>
      <c r="AA259">
        <v>565</v>
      </c>
      <c r="AB259">
        <v>512</v>
      </c>
      <c r="AC259">
        <v>494</v>
      </c>
      <c r="AD259">
        <v>477</v>
      </c>
      <c r="AE259">
        <v>455</v>
      </c>
      <c r="AF259">
        <v>380</v>
      </c>
      <c r="AG259">
        <v>378</v>
      </c>
      <c r="AH259">
        <v>359</v>
      </c>
      <c r="AI259">
        <v>353</v>
      </c>
      <c r="AJ259">
        <v>343</v>
      </c>
      <c r="AK259">
        <v>303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993278</v>
      </c>
    </row>
    <row r="260" spans="1:51" hidden="1" x14ac:dyDescent="0.2">
      <c r="A260" t="s">
        <v>13</v>
      </c>
      <c r="C260">
        <v>258</v>
      </c>
      <c r="D260">
        <v>10</v>
      </c>
      <c r="E260" t="s">
        <v>343</v>
      </c>
      <c r="F260">
        <v>2014</v>
      </c>
      <c r="H260">
        <v>521562</v>
      </c>
      <c r="I260">
        <v>451843</v>
      </c>
      <c r="J260">
        <v>26396</v>
      </c>
      <c r="K260">
        <v>24908</v>
      </c>
      <c r="L260">
        <v>14216</v>
      </c>
      <c r="M260">
        <v>8811</v>
      </c>
      <c r="N260">
        <v>7845</v>
      </c>
      <c r="O260">
        <v>4739</v>
      </c>
      <c r="P260">
        <v>3345</v>
      </c>
      <c r="Q260">
        <v>2891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1066556</v>
      </c>
    </row>
    <row r="261" spans="1:51" hidden="1" x14ac:dyDescent="0.2">
      <c r="A261" t="s">
        <v>13</v>
      </c>
      <c r="C261">
        <v>259</v>
      </c>
      <c r="D261">
        <v>15</v>
      </c>
      <c r="E261" t="s">
        <v>344</v>
      </c>
      <c r="F261">
        <v>2014</v>
      </c>
      <c r="H261">
        <v>643415</v>
      </c>
      <c r="I261">
        <v>341601</v>
      </c>
      <c r="J261">
        <v>36448</v>
      </c>
      <c r="K261">
        <v>19783</v>
      </c>
      <c r="L261">
        <v>16663</v>
      </c>
      <c r="M261">
        <v>11995</v>
      </c>
      <c r="N261">
        <v>3850</v>
      </c>
      <c r="O261">
        <v>3258</v>
      </c>
      <c r="P261">
        <v>2433</v>
      </c>
      <c r="Q261">
        <v>2118</v>
      </c>
      <c r="R261">
        <v>1933</v>
      </c>
      <c r="S261">
        <v>1906</v>
      </c>
      <c r="T261">
        <v>1792</v>
      </c>
      <c r="U261">
        <v>1174</v>
      </c>
      <c r="V261">
        <v>1137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1089506</v>
      </c>
    </row>
    <row r="262" spans="1:51" hidden="1" x14ac:dyDescent="0.2">
      <c r="A262" t="s">
        <v>13</v>
      </c>
      <c r="C262">
        <v>260</v>
      </c>
      <c r="D262">
        <v>14</v>
      </c>
      <c r="E262" t="s">
        <v>345</v>
      </c>
      <c r="F262">
        <v>2014</v>
      </c>
      <c r="H262">
        <v>605185</v>
      </c>
      <c r="I262">
        <v>396063</v>
      </c>
      <c r="J262">
        <v>12683</v>
      </c>
      <c r="K262">
        <v>8386</v>
      </c>
      <c r="L262">
        <v>7473</v>
      </c>
      <c r="M262">
        <v>7120</v>
      </c>
      <c r="N262">
        <v>6003</v>
      </c>
      <c r="O262">
        <v>5649</v>
      </c>
      <c r="P262">
        <v>3497</v>
      </c>
      <c r="Q262">
        <v>3086</v>
      </c>
      <c r="R262">
        <v>2525</v>
      </c>
      <c r="S262">
        <v>2202</v>
      </c>
      <c r="T262">
        <v>1385</v>
      </c>
      <c r="U262">
        <v>1061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1062318</v>
      </c>
    </row>
    <row r="263" spans="1:51" hidden="1" x14ac:dyDescent="0.2">
      <c r="A263" t="s">
        <v>13</v>
      </c>
      <c r="C263">
        <v>261</v>
      </c>
      <c r="D263">
        <v>15</v>
      </c>
      <c r="E263" t="s">
        <v>346</v>
      </c>
      <c r="F263">
        <v>2014</v>
      </c>
      <c r="H263">
        <v>532936</v>
      </c>
      <c r="I263">
        <v>333014</v>
      </c>
      <c r="J263">
        <v>11580</v>
      </c>
      <c r="K263">
        <v>10381</v>
      </c>
      <c r="L263">
        <v>9879</v>
      </c>
      <c r="M263">
        <v>9296</v>
      </c>
      <c r="N263">
        <v>4728</v>
      </c>
      <c r="O263">
        <v>4319</v>
      </c>
      <c r="P263">
        <v>3193</v>
      </c>
      <c r="Q263">
        <v>2954</v>
      </c>
      <c r="R263">
        <v>2874</v>
      </c>
      <c r="S263">
        <v>2334</v>
      </c>
      <c r="T263">
        <v>2229</v>
      </c>
      <c r="U263">
        <v>1499</v>
      </c>
      <c r="V263">
        <v>1429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932645</v>
      </c>
    </row>
    <row r="264" spans="1:51" hidden="1" x14ac:dyDescent="0.2">
      <c r="A264" t="s">
        <v>13</v>
      </c>
      <c r="C264">
        <v>262</v>
      </c>
      <c r="D264">
        <v>35</v>
      </c>
      <c r="E264" t="s">
        <v>347</v>
      </c>
      <c r="F264">
        <v>2014</v>
      </c>
      <c r="H264">
        <v>635995</v>
      </c>
      <c r="I264">
        <v>499541</v>
      </c>
      <c r="J264">
        <v>14166</v>
      </c>
      <c r="K264">
        <v>8634</v>
      </c>
      <c r="L264">
        <v>5383</v>
      </c>
      <c r="M264">
        <v>5357</v>
      </c>
      <c r="N264">
        <v>4281</v>
      </c>
      <c r="O264">
        <v>3758</v>
      </c>
      <c r="P264">
        <v>3732</v>
      </c>
      <c r="Q264">
        <v>3617</v>
      </c>
      <c r="R264">
        <v>3264</v>
      </c>
      <c r="S264">
        <v>3247</v>
      </c>
      <c r="T264">
        <v>3163</v>
      </c>
      <c r="U264">
        <v>3040</v>
      </c>
      <c r="V264">
        <v>2797</v>
      </c>
      <c r="W264">
        <v>2698</v>
      </c>
      <c r="X264">
        <v>2482</v>
      </c>
      <c r="Y264">
        <v>2323</v>
      </c>
      <c r="Z264">
        <v>1930</v>
      </c>
      <c r="AA264">
        <v>1734</v>
      </c>
      <c r="AB264">
        <v>1733</v>
      </c>
      <c r="AC264">
        <v>1628</v>
      </c>
      <c r="AD264">
        <v>1584</v>
      </c>
      <c r="AE264">
        <v>1533</v>
      </c>
      <c r="AF264">
        <v>1270</v>
      </c>
      <c r="AG264">
        <v>1264</v>
      </c>
      <c r="AH264">
        <v>1162</v>
      </c>
      <c r="AI264">
        <v>1122</v>
      </c>
      <c r="AJ264">
        <v>1075</v>
      </c>
      <c r="AK264">
        <v>1065</v>
      </c>
      <c r="AL264">
        <v>1036</v>
      </c>
      <c r="AM264">
        <v>1018</v>
      </c>
      <c r="AN264">
        <v>944</v>
      </c>
      <c r="AO264">
        <v>931</v>
      </c>
      <c r="AP264">
        <v>848</v>
      </c>
      <c r="AQ264">
        <v>846</v>
      </c>
      <c r="AR264">
        <v>713</v>
      </c>
      <c r="AS264">
        <v>520</v>
      </c>
      <c r="AT264">
        <v>452</v>
      </c>
      <c r="AU264">
        <v>314</v>
      </c>
      <c r="AV264">
        <v>0</v>
      </c>
      <c r="AW264">
        <v>0</v>
      </c>
      <c r="AX264">
        <v>0</v>
      </c>
      <c r="AY264">
        <v>1232200</v>
      </c>
    </row>
    <row r="265" spans="1:51" hidden="1" x14ac:dyDescent="0.2">
      <c r="A265" t="s">
        <v>13</v>
      </c>
      <c r="C265">
        <v>263</v>
      </c>
      <c r="D265">
        <v>28</v>
      </c>
      <c r="E265" t="s">
        <v>348</v>
      </c>
      <c r="F265">
        <v>2014</v>
      </c>
      <c r="H265">
        <v>607699</v>
      </c>
      <c r="I265">
        <v>373374</v>
      </c>
      <c r="J265">
        <v>28322</v>
      </c>
      <c r="K265">
        <v>26868</v>
      </c>
      <c r="L265">
        <v>10210</v>
      </c>
      <c r="M265">
        <v>7245</v>
      </c>
      <c r="N265">
        <v>7169</v>
      </c>
      <c r="O265">
        <v>7038</v>
      </c>
      <c r="P265">
        <v>4613</v>
      </c>
      <c r="Q265">
        <v>4240</v>
      </c>
      <c r="R265">
        <v>4126</v>
      </c>
      <c r="S265">
        <v>4092</v>
      </c>
      <c r="T265">
        <v>3725</v>
      </c>
      <c r="U265">
        <v>3466</v>
      </c>
      <c r="V265">
        <v>3361</v>
      </c>
      <c r="W265">
        <v>2355</v>
      </c>
      <c r="X265">
        <v>2257</v>
      </c>
      <c r="Y265">
        <v>2251</v>
      </c>
      <c r="Z265">
        <v>1978</v>
      </c>
      <c r="AA265">
        <v>1963</v>
      </c>
      <c r="AB265">
        <v>1701</v>
      </c>
      <c r="AC265">
        <v>1640</v>
      </c>
      <c r="AD265">
        <v>1528</v>
      </c>
      <c r="AE265">
        <v>1482</v>
      </c>
      <c r="AF265">
        <v>1429</v>
      </c>
      <c r="AG265">
        <v>1418</v>
      </c>
      <c r="AH265">
        <v>1313</v>
      </c>
      <c r="AI265">
        <v>1288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1118151</v>
      </c>
    </row>
    <row r="266" spans="1:51" hidden="1" x14ac:dyDescent="0.2">
      <c r="A266" t="s">
        <v>13</v>
      </c>
      <c r="C266">
        <v>264</v>
      </c>
      <c r="D266">
        <v>19</v>
      </c>
      <c r="E266" t="s">
        <v>349</v>
      </c>
      <c r="F266">
        <v>2014</v>
      </c>
      <c r="H266">
        <v>616509</v>
      </c>
      <c r="I266">
        <v>363114</v>
      </c>
      <c r="J266">
        <v>20029</v>
      </c>
      <c r="K266">
        <v>13996</v>
      </c>
      <c r="L266">
        <v>9829</v>
      </c>
      <c r="M266">
        <v>8678</v>
      </c>
      <c r="N266">
        <v>3401</v>
      </c>
      <c r="O266">
        <v>2830</v>
      </c>
      <c r="P266">
        <v>2724</v>
      </c>
      <c r="Q266">
        <v>2052</v>
      </c>
      <c r="R266">
        <v>2035</v>
      </c>
      <c r="S266">
        <v>1941</v>
      </c>
      <c r="T266">
        <v>1840</v>
      </c>
      <c r="U266">
        <v>1765</v>
      </c>
      <c r="V266">
        <v>1541</v>
      </c>
      <c r="W266">
        <v>1337</v>
      </c>
      <c r="X266">
        <v>1306</v>
      </c>
      <c r="Y266">
        <v>1287</v>
      </c>
      <c r="Z266">
        <v>942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1057156</v>
      </c>
    </row>
    <row r="267" spans="1:51" hidden="1" x14ac:dyDescent="0.2">
      <c r="A267" t="s">
        <v>13</v>
      </c>
      <c r="C267">
        <v>265</v>
      </c>
      <c r="D267">
        <v>17</v>
      </c>
      <c r="E267" t="s">
        <v>350</v>
      </c>
      <c r="F267">
        <v>2014</v>
      </c>
      <c r="H267">
        <v>517879</v>
      </c>
      <c r="I267">
        <v>368205</v>
      </c>
      <c r="J267">
        <v>19041</v>
      </c>
      <c r="K267">
        <v>13778</v>
      </c>
      <c r="L267">
        <v>9261</v>
      </c>
      <c r="M267">
        <v>5487</v>
      </c>
      <c r="N267">
        <v>2706</v>
      </c>
      <c r="O267">
        <v>2458</v>
      </c>
      <c r="P267">
        <v>1683</v>
      </c>
      <c r="Q267">
        <v>1654</v>
      </c>
      <c r="R267">
        <v>1504</v>
      </c>
      <c r="S267">
        <v>1460</v>
      </c>
      <c r="T267">
        <v>1399</v>
      </c>
      <c r="U267">
        <v>1333</v>
      </c>
      <c r="V267">
        <v>1286</v>
      </c>
      <c r="W267">
        <v>1243</v>
      </c>
      <c r="X267">
        <v>824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951201</v>
      </c>
    </row>
    <row r="268" spans="1:51" hidden="1" x14ac:dyDescent="0.2">
      <c r="A268" t="s">
        <v>13</v>
      </c>
      <c r="C268">
        <v>266</v>
      </c>
      <c r="D268">
        <v>25</v>
      </c>
      <c r="E268" t="s">
        <v>351</v>
      </c>
      <c r="F268">
        <v>2014</v>
      </c>
      <c r="H268">
        <v>489989</v>
      </c>
      <c r="I268">
        <v>464645</v>
      </c>
      <c r="J268">
        <v>25187</v>
      </c>
      <c r="K268">
        <v>15790</v>
      </c>
      <c r="L268">
        <v>8853</v>
      </c>
      <c r="M268">
        <v>8829</v>
      </c>
      <c r="N268">
        <v>7160</v>
      </c>
      <c r="O268">
        <v>7115</v>
      </c>
      <c r="P268">
        <v>6886</v>
      </c>
      <c r="Q268">
        <v>4625</v>
      </c>
      <c r="R268">
        <v>4209</v>
      </c>
      <c r="S268">
        <v>4139</v>
      </c>
      <c r="T268">
        <v>3367</v>
      </c>
      <c r="U268">
        <v>3293</v>
      </c>
      <c r="V268">
        <v>3094</v>
      </c>
      <c r="W268">
        <v>2814</v>
      </c>
      <c r="X268">
        <v>2522</v>
      </c>
      <c r="Y268">
        <v>2336</v>
      </c>
      <c r="Z268">
        <v>2301</v>
      </c>
      <c r="AA268">
        <v>2275</v>
      </c>
      <c r="AB268">
        <v>2189</v>
      </c>
      <c r="AC268">
        <v>2117</v>
      </c>
      <c r="AD268">
        <v>1989</v>
      </c>
      <c r="AE268">
        <v>1969</v>
      </c>
      <c r="AF268">
        <v>1926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1079619</v>
      </c>
    </row>
    <row r="269" spans="1:51" hidden="1" x14ac:dyDescent="0.2">
      <c r="A269" t="s">
        <v>13</v>
      </c>
      <c r="C269">
        <v>267</v>
      </c>
      <c r="D269">
        <v>17</v>
      </c>
      <c r="E269" t="s">
        <v>352</v>
      </c>
      <c r="F269">
        <v>2014</v>
      </c>
      <c r="H269">
        <v>611563</v>
      </c>
      <c r="I269">
        <v>372271</v>
      </c>
      <c r="J269">
        <v>11378</v>
      </c>
      <c r="K269">
        <v>8405</v>
      </c>
      <c r="L269">
        <v>8353</v>
      </c>
      <c r="M269">
        <v>6110</v>
      </c>
      <c r="N269">
        <v>4699</v>
      </c>
      <c r="O269">
        <v>4309</v>
      </c>
      <c r="P269">
        <v>0</v>
      </c>
      <c r="Q269">
        <v>2481</v>
      </c>
      <c r="R269">
        <v>2460</v>
      </c>
      <c r="S269">
        <v>1844</v>
      </c>
      <c r="T269">
        <v>1774</v>
      </c>
      <c r="U269">
        <v>1702</v>
      </c>
      <c r="V269">
        <v>1661</v>
      </c>
      <c r="W269">
        <v>1494</v>
      </c>
      <c r="X269">
        <v>997</v>
      </c>
      <c r="Y269">
        <v>849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1042350</v>
      </c>
    </row>
    <row r="270" spans="1:51" hidden="1" x14ac:dyDescent="0.2">
      <c r="A270" t="s">
        <v>13</v>
      </c>
      <c r="C270">
        <v>268</v>
      </c>
      <c r="D270">
        <v>19</v>
      </c>
      <c r="E270" t="s">
        <v>353</v>
      </c>
      <c r="F270">
        <v>2014</v>
      </c>
      <c r="H270">
        <v>522531</v>
      </c>
      <c r="I270">
        <v>155937</v>
      </c>
      <c r="J270">
        <v>82489</v>
      </c>
      <c r="K270">
        <v>71808</v>
      </c>
      <c r="L270">
        <v>18215</v>
      </c>
      <c r="M270">
        <v>15073</v>
      </c>
      <c r="N270">
        <v>14523</v>
      </c>
      <c r="O270">
        <v>13760</v>
      </c>
      <c r="P270">
        <v>12270</v>
      </c>
      <c r="Q270">
        <v>12122</v>
      </c>
      <c r="R270">
        <v>11304</v>
      </c>
      <c r="S270">
        <v>10589</v>
      </c>
      <c r="T270">
        <v>10047</v>
      </c>
      <c r="U270">
        <v>9405</v>
      </c>
      <c r="V270">
        <v>4711</v>
      </c>
      <c r="W270">
        <v>3654</v>
      </c>
      <c r="X270">
        <v>3644</v>
      </c>
      <c r="Y270">
        <v>2435</v>
      </c>
      <c r="Z270">
        <v>2164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976681</v>
      </c>
    </row>
    <row r="271" spans="1:51" hidden="1" x14ac:dyDescent="0.2">
      <c r="A271" t="s">
        <v>13</v>
      </c>
      <c r="C271">
        <v>269</v>
      </c>
      <c r="D271">
        <v>11</v>
      </c>
      <c r="E271" t="s">
        <v>354</v>
      </c>
      <c r="F271">
        <v>2014</v>
      </c>
      <c r="H271">
        <v>493088</v>
      </c>
      <c r="I271">
        <v>343037</v>
      </c>
      <c r="J271">
        <v>13088</v>
      </c>
      <c r="K271">
        <v>12700</v>
      </c>
      <c r="L271">
        <v>12393</v>
      </c>
      <c r="M271">
        <v>7328</v>
      </c>
      <c r="N271">
        <v>5999</v>
      </c>
      <c r="O271">
        <v>2904</v>
      </c>
      <c r="P271">
        <v>2332</v>
      </c>
      <c r="Q271">
        <v>1992</v>
      </c>
      <c r="R271">
        <v>1395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896256</v>
      </c>
    </row>
    <row r="272" spans="1:51" hidden="1" x14ac:dyDescent="0.2">
      <c r="A272" t="s">
        <v>13</v>
      </c>
      <c r="C272">
        <v>270</v>
      </c>
      <c r="D272">
        <v>16</v>
      </c>
      <c r="E272" t="s">
        <v>355</v>
      </c>
      <c r="F272">
        <v>2014</v>
      </c>
      <c r="H272">
        <v>607665</v>
      </c>
      <c r="I272">
        <v>574406</v>
      </c>
      <c r="J272">
        <v>13162</v>
      </c>
      <c r="K272">
        <v>10963</v>
      </c>
      <c r="L272">
        <v>9291</v>
      </c>
      <c r="M272">
        <v>8635</v>
      </c>
      <c r="N272">
        <v>7067</v>
      </c>
      <c r="O272">
        <v>7015</v>
      </c>
      <c r="P272">
        <v>6114</v>
      </c>
      <c r="Q272">
        <v>5676</v>
      </c>
      <c r="R272">
        <v>5495</v>
      </c>
      <c r="S272">
        <v>1415</v>
      </c>
      <c r="T272">
        <v>915</v>
      </c>
      <c r="U272">
        <v>898</v>
      </c>
      <c r="V272">
        <v>836</v>
      </c>
      <c r="W272">
        <v>736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1260289</v>
      </c>
    </row>
    <row r="273" spans="1:59" hidden="1" x14ac:dyDescent="0.2">
      <c r="A273" t="s">
        <v>13</v>
      </c>
      <c r="C273">
        <v>271</v>
      </c>
      <c r="D273">
        <v>14</v>
      </c>
      <c r="E273" t="s">
        <v>356</v>
      </c>
      <c r="F273">
        <v>2014</v>
      </c>
      <c r="H273">
        <v>640428</v>
      </c>
      <c r="I273">
        <v>462618</v>
      </c>
      <c r="J273">
        <v>25648</v>
      </c>
      <c r="K273">
        <v>11499</v>
      </c>
      <c r="L273">
        <v>10059</v>
      </c>
      <c r="M273">
        <v>9015</v>
      </c>
      <c r="N273">
        <v>6585</v>
      </c>
      <c r="O273">
        <v>5186</v>
      </c>
      <c r="P273">
        <v>4176</v>
      </c>
      <c r="Q273">
        <v>3318</v>
      </c>
      <c r="R273">
        <v>2999</v>
      </c>
      <c r="S273">
        <v>2637</v>
      </c>
      <c r="T273">
        <v>2361</v>
      </c>
      <c r="U273">
        <v>2342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1188871</v>
      </c>
    </row>
    <row r="274" spans="1:59" hidden="1" x14ac:dyDescent="0.2">
      <c r="A274" t="s">
        <v>14</v>
      </c>
      <c r="C274">
        <v>272</v>
      </c>
      <c r="D274">
        <v>9</v>
      </c>
      <c r="E274" t="s">
        <v>357</v>
      </c>
      <c r="F274">
        <v>2014</v>
      </c>
      <c r="H274">
        <v>292102</v>
      </c>
      <c r="I274">
        <v>197428</v>
      </c>
      <c r="J274">
        <v>92444</v>
      </c>
      <c r="K274">
        <v>39903</v>
      </c>
      <c r="L274">
        <v>7014</v>
      </c>
      <c r="M274">
        <v>5298</v>
      </c>
      <c r="N274">
        <v>3273</v>
      </c>
      <c r="O274">
        <v>2005</v>
      </c>
      <c r="P274">
        <v>1403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640870</v>
      </c>
    </row>
    <row r="275" spans="1:59" hidden="1" x14ac:dyDescent="0.2">
      <c r="A275" t="s">
        <v>14</v>
      </c>
      <c r="C275">
        <v>273</v>
      </c>
      <c r="D275">
        <v>11</v>
      </c>
      <c r="E275" t="s">
        <v>358</v>
      </c>
      <c r="F275">
        <v>2014</v>
      </c>
      <c r="H275">
        <v>296770</v>
      </c>
      <c r="I275">
        <v>281133</v>
      </c>
      <c r="J275">
        <v>75828</v>
      </c>
      <c r="K275">
        <v>61662</v>
      </c>
      <c r="L275">
        <v>34995</v>
      </c>
      <c r="M275">
        <v>12752</v>
      </c>
      <c r="N275">
        <v>4331</v>
      </c>
      <c r="O275">
        <v>2206</v>
      </c>
      <c r="P275">
        <v>1085</v>
      </c>
      <c r="Q275">
        <v>603</v>
      </c>
      <c r="R275">
        <v>401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771766</v>
      </c>
    </row>
    <row r="276" spans="1:59" hidden="1" x14ac:dyDescent="0.2">
      <c r="A276" t="s">
        <v>15</v>
      </c>
      <c r="C276">
        <v>274</v>
      </c>
      <c r="D276">
        <v>9</v>
      </c>
      <c r="E276" t="s">
        <v>359</v>
      </c>
      <c r="F276">
        <v>2014</v>
      </c>
      <c r="H276">
        <v>209340</v>
      </c>
      <c r="I276">
        <v>168961</v>
      </c>
      <c r="J276">
        <v>106817</v>
      </c>
      <c r="K276">
        <v>95979</v>
      </c>
      <c r="L276">
        <v>10960</v>
      </c>
      <c r="M276">
        <v>8815</v>
      </c>
      <c r="N276">
        <v>7418</v>
      </c>
      <c r="O276">
        <v>6605</v>
      </c>
      <c r="P276">
        <v>5092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619987</v>
      </c>
    </row>
    <row r="277" spans="1:59" x14ac:dyDescent="0.2">
      <c r="A277" t="s">
        <v>15</v>
      </c>
      <c r="C277">
        <v>275</v>
      </c>
      <c r="D277">
        <v>3</v>
      </c>
      <c r="E277" t="s">
        <v>360</v>
      </c>
      <c r="F277">
        <v>2014</v>
      </c>
      <c r="H277">
        <v>239301</v>
      </c>
      <c r="I277">
        <v>199585</v>
      </c>
      <c r="J277">
        <v>19185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458071</v>
      </c>
      <c r="AZ277" s="5">
        <f>MAX(H277:J277)/AY277</f>
        <v>0.52241028137559464</v>
      </c>
      <c r="BA277" s="6">
        <f>IF(AZ277&lt;50%,1,0)</f>
        <v>0</v>
      </c>
      <c r="BB277" s="6">
        <f>H277/$AY277</f>
        <v>0.52241028137559464</v>
      </c>
      <c r="BC277" s="6">
        <f t="shared" ref="BC277:BD277" si="0">I277/$AY277</f>
        <v>0.4357075649844675</v>
      </c>
      <c r="BD277" s="6">
        <f t="shared" si="0"/>
        <v>4.1882153639937914E-2</v>
      </c>
      <c r="BE277" s="6"/>
      <c r="BF277" s="6"/>
      <c r="BG277" s="6"/>
    </row>
    <row r="278" spans="1:59" hidden="1" x14ac:dyDescent="0.2">
      <c r="A278" t="s">
        <v>16</v>
      </c>
      <c r="C278">
        <v>276</v>
      </c>
      <c r="D278">
        <v>4</v>
      </c>
      <c r="E278" t="s">
        <v>16</v>
      </c>
      <c r="F278">
        <v>2014</v>
      </c>
      <c r="H278">
        <v>210485</v>
      </c>
      <c r="I278">
        <v>204331</v>
      </c>
      <c r="J278">
        <v>11890</v>
      </c>
      <c r="K278">
        <v>6495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433201</v>
      </c>
    </row>
    <row r="279" spans="1:59" hidden="1" x14ac:dyDescent="0.2">
      <c r="A279" t="s">
        <v>17</v>
      </c>
      <c r="C279">
        <v>277</v>
      </c>
      <c r="D279">
        <v>4</v>
      </c>
      <c r="E279" t="s">
        <v>17</v>
      </c>
      <c r="F279">
        <v>2014</v>
      </c>
      <c r="H279">
        <v>713372</v>
      </c>
      <c r="I279">
        <v>313147</v>
      </c>
      <c r="J279">
        <v>9695</v>
      </c>
      <c r="K279">
        <v>2696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1038910</v>
      </c>
    </row>
    <row r="280" spans="1:59" hidden="1" x14ac:dyDescent="0.2">
      <c r="A280" t="s">
        <v>18</v>
      </c>
      <c r="C280">
        <v>278</v>
      </c>
      <c r="D280">
        <v>9</v>
      </c>
      <c r="E280" t="s">
        <v>361</v>
      </c>
      <c r="F280">
        <v>2014</v>
      </c>
      <c r="H280">
        <v>383230</v>
      </c>
      <c r="I280">
        <v>372052</v>
      </c>
      <c r="J280">
        <v>274610</v>
      </c>
      <c r="K280">
        <v>26216</v>
      </c>
      <c r="L280">
        <v>21100</v>
      </c>
      <c r="M280">
        <v>15672</v>
      </c>
      <c r="N280">
        <v>14500</v>
      </c>
      <c r="O280">
        <v>8009</v>
      </c>
      <c r="P280">
        <v>7912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1123301</v>
      </c>
    </row>
    <row r="281" spans="1:59" hidden="1" x14ac:dyDescent="0.2">
      <c r="A281" t="s">
        <v>18</v>
      </c>
      <c r="C281">
        <v>279</v>
      </c>
      <c r="D281">
        <v>13</v>
      </c>
      <c r="E281" t="s">
        <v>362</v>
      </c>
      <c r="F281">
        <v>2014</v>
      </c>
      <c r="H281">
        <v>340508</v>
      </c>
      <c r="I281">
        <v>321679</v>
      </c>
      <c r="J281">
        <v>269335</v>
      </c>
      <c r="K281">
        <v>15835</v>
      </c>
      <c r="L281">
        <v>9472</v>
      </c>
      <c r="M281">
        <v>9460</v>
      </c>
      <c r="N281">
        <v>9001</v>
      </c>
      <c r="O281">
        <v>8448</v>
      </c>
      <c r="P281">
        <v>7429</v>
      </c>
      <c r="Q281">
        <v>7282</v>
      </c>
      <c r="R281">
        <v>4408</v>
      </c>
      <c r="S281">
        <v>3951</v>
      </c>
      <c r="T281">
        <v>3903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1010711</v>
      </c>
    </row>
    <row r="282" spans="1:59" hidden="1" x14ac:dyDescent="0.2">
      <c r="A282" t="s">
        <v>18</v>
      </c>
      <c r="C282">
        <v>280</v>
      </c>
      <c r="D282">
        <v>12</v>
      </c>
      <c r="E282" t="s">
        <v>363</v>
      </c>
      <c r="F282">
        <v>2014</v>
      </c>
      <c r="H282">
        <v>358618</v>
      </c>
      <c r="I282">
        <v>328042</v>
      </c>
      <c r="J282">
        <v>242131</v>
      </c>
      <c r="K282">
        <v>13314</v>
      </c>
      <c r="L282">
        <v>12211</v>
      </c>
      <c r="M282">
        <v>7029</v>
      </c>
      <c r="N282">
        <v>4763</v>
      </c>
      <c r="O282">
        <v>4502</v>
      </c>
      <c r="P282">
        <v>4018</v>
      </c>
      <c r="Q282">
        <v>4012</v>
      </c>
      <c r="R282">
        <v>3110</v>
      </c>
      <c r="S282">
        <v>2559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984309</v>
      </c>
    </row>
    <row r="283" spans="1:59" hidden="1" x14ac:dyDescent="0.2">
      <c r="A283" t="s">
        <v>18</v>
      </c>
      <c r="C283">
        <v>281</v>
      </c>
      <c r="D283">
        <v>9</v>
      </c>
      <c r="E283" t="s">
        <v>364</v>
      </c>
      <c r="F283">
        <v>2014</v>
      </c>
      <c r="H283">
        <v>434471</v>
      </c>
      <c r="I283">
        <v>277154</v>
      </c>
      <c r="J283">
        <v>190531</v>
      </c>
      <c r="K283">
        <v>101999</v>
      </c>
      <c r="L283">
        <v>26065</v>
      </c>
      <c r="M283">
        <v>16420</v>
      </c>
      <c r="N283">
        <v>16299</v>
      </c>
      <c r="O283">
        <v>12236</v>
      </c>
      <c r="P283">
        <v>8694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1083869</v>
      </c>
    </row>
    <row r="284" spans="1:59" hidden="1" x14ac:dyDescent="0.2">
      <c r="A284" t="s">
        <v>18</v>
      </c>
      <c r="C284">
        <v>282</v>
      </c>
      <c r="D284">
        <v>10</v>
      </c>
      <c r="E284" t="s">
        <v>365</v>
      </c>
      <c r="F284">
        <v>2014</v>
      </c>
      <c r="H284">
        <v>393779</v>
      </c>
      <c r="I284">
        <v>270913</v>
      </c>
      <c r="J284">
        <v>172984</v>
      </c>
      <c r="K284">
        <v>142165</v>
      </c>
      <c r="L284">
        <v>23517</v>
      </c>
      <c r="M284">
        <v>14632</v>
      </c>
      <c r="N284">
        <v>12041</v>
      </c>
      <c r="O284">
        <v>8183</v>
      </c>
      <c r="P284">
        <v>8133</v>
      </c>
      <c r="Q284">
        <v>7052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1053399</v>
      </c>
    </row>
    <row r="285" spans="1:59" hidden="1" x14ac:dyDescent="0.2">
      <c r="A285" t="s">
        <v>18</v>
      </c>
      <c r="C285">
        <v>283</v>
      </c>
      <c r="D285">
        <v>11</v>
      </c>
      <c r="E285" t="s">
        <v>366</v>
      </c>
      <c r="F285">
        <v>2014</v>
      </c>
      <c r="H285">
        <v>433768</v>
      </c>
      <c r="I285">
        <v>291943</v>
      </c>
      <c r="J285">
        <v>277517</v>
      </c>
      <c r="K285">
        <v>14538</v>
      </c>
      <c r="L285">
        <v>9856</v>
      </c>
      <c r="M285">
        <v>7716</v>
      </c>
      <c r="N285">
        <v>4529</v>
      </c>
      <c r="O285">
        <v>3240</v>
      </c>
      <c r="P285">
        <v>2664</v>
      </c>
      <c r="Q285">
        <v>1856</v>
      </c>
      <c r="R285">
        <v>1823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1049450</v>
      </c>
    </row>
    <row r="286" spans="1:59" hidden="1" x14ac:dyDescent="0.2">
      <c r="A286" t="s">
        <v>18</v>
      </c>
      <c r="C286">
        <v>284</v>
      </c>
      <c r="D286">
        <v>9</v>
      </c>
      <c r="E286" t="s">
        <v>367</v>
      </c>
      <c r="F286">
        <v>2014</v>
      </c>
      <c r="H286">
        <v>502338</v>
      </c>
      <c r="I286">
        <v>322979</v>
      </c>
      <c r="J286">
        <v>216617</v>
      </c>
      <c r="K286">
        <v>11930</v>
      </c>
      <c r="L286">
        <v>7607</v>
      </c>
      <c r="M286">
        <v>6750</v>
      </c>
      <c r="N286">
        <v>5961</v>
      </c>
      <c r="O286">
        <v>4518</v>
      </c>
      <c r="P286">
        <v>2639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1081339</v>
      </c>
    </row>
    <row r="287" spans="1:59" hidden="1" x14ac:dyDescent="0.2">
      <c r="A287" t="s">
        <v>18</v>
      </c>
      <c r="C287">
        <v>285</v>
      </c>
      <c r="D287">
        <v>10</v>
      </c>
      <c r="E287" t="s">
        <v>368</v>
      </c>
      <c r="F287">
        <v>2014</v>
      </c>
      <c r="H287">
        <v>541349</v>
      </c>
      <c r="I287">
        <v>221078</v>
      </c>
      <c r="J287">
        <v>150789</v>
      </c>
      <c r="K287">
        <v>29142</v>
      </c>
      <c r="L287">
        <v>8655</v>
      </c>
      <c r="M287">
        <v>8269</v>
      </c>
      <c r="N287">
        <v>8065</v>
      </c>
      <c r="O287">
        <v>6926</v>
      </c>
      <c r="P287">
        <v>3409</v>
      </c>
      <c r="Q287">
        <v>2753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980435</v>
      </c>
    </row>
    <row r="288" spans="1:59" hidden="1" x14ac:dyDescent="0.2">
      <c r="A288" t="s">
        <v>18</v>
      </c>
      <c r="C288">
        <v>286</v>
      </c>
      <c r="D288">
        <v>13</v>
      </c>
      <c r="E288" t="s">
        <v>369</v>
      </c>
      <c r="F288">
        <v>2014</v>
      </c>
      <c r="H288">
        <v>453277</v>
      </c>
      <c r="I288">
        <v>315937</v>
      </c>
      <c r="J288">
        <v>213794</v>
      </c>
      <c r="K288">
        <v>13205</v>
      </c>
      <c r="L288">
        <v>8712</v>
      </c>
      <c r="M288">
        <v>7505</v>
      </c>
      <c r="N288">
        <v>6574</v>
      </c>
      <c r="O288">
        <v>5447</v>
      </c>
      <c r="P288">
        <v>5120</v>
      </c>
      <c r="Q288">
        <v>4275</v>
      </c>
      <c r="R288">
        <v>3918</v>
      </c>
      <c r="S288">
        <v>2298</v>
      </c>
      <c r="T288">
        <v>2039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1042101</v>
      </c>
    </row>
    <row r="289" spans="1:51" hidden="1" x14ac:dyDescent="0.2">
      <c r="A289" t="s">
        <v>18</v>
      </c>
      <c r="C289">
        <v>287</v>
      </c>
      <c r="D289">
        <v>9</v>
      </c>
      <c r="E289" t="s">
        <v>370</v>
      </c>
      <c r="F289">
        <v>2014</v>
      </c>
      <c r="H289">
        <v>453519</v>
      </c>
      <c r="I289">
        <v>349220</v>
      </c>
      <c r="J289">
        <v>277616</v>
      </c>
      <c r="K289">
        <v>24515</v>
      </c>
      <c r="L289">
        <v>21043</v>
      </c>
      <c r="M289">
        <v>14626</v>
      </c>
      <c r="N289">
        <v>11513</v>
      </c>
      <c r="O289">
        <v>9915</v>
      </c>
      <c r="P289">
        <v>8438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1170405</v>
      </c>
    </row>
    <row r="290" spans="1:51" hidden="1" x14ac:dyDescent="0.2">
      <c r="A290" t="s">
        <v>18</v>
      </c>
      <c r="C290">
        <v>288</v>
      </c>
      <c r="D290">
        <v>16</v>
      </c>
      <c r="E290" t="s">
        <v>371</v>
      </c>
      <c r="F290">
        <v>2014</v>
      </c>
      <c r="H290">
        <v>370871</v>
      </c>
      <c r="I290">
        <v>314524</v>
      </c>
      <c r="J290">
        <v>307967</v>
      </c>
      <c r="K290">
        <v>20880</v>
      </c>
      <c r="L290">
        <v>18869</v>
      </c>
      <c r="M290">
        <v>14115</v>
      </c>
      <c r="N290">
        <v>10839</v>
      </c>
      <c r="O290">
        <v>8698</v>
      </c>
      <c r="P290">
        <v>8600</v>
      </c>
      <c r="Q290">
        <v>8299</v>
      </c>
      <c r="R290">
        <v>7329</v>
      </c>
      <c r="S290">
        <v>6360</v>
      </c>
      <c r="T290">
        <v>5858</v>
      </c>
      <c r="U290">
        <v>5007</v>
      </c>
      <c r="V290">
        <v>4885</v>
      </c>
      <c r="W290">
        <v>4435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1117536</v>
      </c>
    </row>
    <row r="291" spans="1:51" hidden="1" x14ac:dyDescent="0.2">
      <c r="A291" t="s">
        <v>18</v>
      </c>
      <c r="C291">
        <v>289</v>
      </c>
      <c r="D291">
        <v>8</v>
      </c>
      <c r="E291" t="s">
        <v>372</v>
      </c>
      <c r="F291">
        <v>2014</v>
      </c>
      <c r="H291">
        <v>373887</v>
      </c>
      <c r="I291">
        <v>371845</v>
      </c>
      <c r="J291">
        <v>138430</v>
      </c>
      <c r="K291">
        <v>44408</v>
      </c>
      <c r="L291">
        <v>31707</v>
      </c>
      <c r="M291">
        <v>24832</v>
      </c>
      <c r="N291">
        <v>18675</v>
      </c>
      <c r="O291">
        <v>18388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1022172</v>
      </c>
    </row>
    <row r="292" spans="1:51" hidden="1" x14ac:dyDescent="0.2">
      <c r="A292" t="s">
        <v>18</v>
      </c>
      <c r="C292">
        <v>290</v>
      </c>
      <c r="D292">
        <v>9</v>
      </c>
      <c r="E292" t="s">
        <v>373</v>
      </c>
      <c r="F292">
        <v>2014</v>
      </c>
      <c r="H292">
        <v>421458</v>
      </c>
      <c r="I292">
        <v>240441</v>
      </c>
      <c r="J292">
        <v>108744</v>
      </c>
      <c r="K292">
        <v>20472</v>
      </c>
      <c r="L292">
        <v>14159</v>
      </c>
      <c r="M292">
        <v>11080</v>
      </c>
      <c r="N292">
        <v>9522</v>
      </c>
      <c r="O292">
        <v>7741</v>
      </c>
      <c r="P292">
        <v>5798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839415</v>
      </c>
    </row>
    <row r="293" spans="1:51" hidden="1" x14ac:dyDescent="0.2">
      <c r="A293" t="s">
        <v>18</v>
      </c>
      <c r="C293">
        <v>291</v>
      </c>
      <c r="D293">
        <v>11</v>
      </c>
      <c r="E293" t="s">
        <v>374</v>
      </c>
      <c r="F293">
        <v>2014</v>
      </c>
      <c r="H293">
        <v>526085</v>
      </c>
      <c r="I293">
        <v>219323</v>
      </c>
      <c r="J293">
        <v>146093</v>
      </c>
      <c r="K293">
        <v>58246</v>
      </c>
      <c r="L293">
        <v>8889</v>
      </c>
      <c r="M293">
        <v>5733</v>
      </c>
      <c r="N293">
        <v>4531</v>
      </c>
      <c r="O293">
        <v>3639</v>
      </c>
      <c r="P293">
        <v>2171</v>
      </c>
      <c r="Q293">
        <v>2082</v>
      </c>
      <c r="R293">
        <v>1812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978604</v>
      </c>
    </row>
    <row r="294" spans="1:51" hidden="1" x14ac:dyDescent="0.2">
      <c r="A294" t="s">
        <v>18</v>
      </c>
      <c r="C294">
        <v>292</v>
      </c>
      <c r="D294">
        <v>8</v>
      </c>
      <c r="E294" t="s">
        <v>375</v>
      </c>
      <c r="F294">
        <v>2014</v>
      </c>
      <c r="H294">
        <v>600023</v>
      </c>
      <c r="I294">
        <v>390723</v>
      </c>
      <c r="J294">
        <v>118653</v>
      </c>
      <c r="K294">
        <v>7596</v>
      </c>
      <c r="L294">
        <v>6192</v>
      </c>
      <c r="M294">
        <v>6185</v>
      </c>
      <c r="N294">
        <v>6019</v>
      </c>
      <c r="O294">
        <v>2216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1137607</v>
      </c>
    </row>
    <row r="295" spans="1:51" hidden="1" x14ac:dyDescent="0.2">
      <c r="A295" t="s">
        <v>18</v>
      </c>
      <c r="C295">
        <v>293</v>
      </c>
      <c r="D295">
        <v>8</v>
      </c>
      <c r="E295" t="s">
        <v>376</v>
      </c>
      <c r="F295">
        <v>2014</v>
      </c>
      <c r="H295">
        <v>624492</v>
      </c>
      <c r="I295">
        <v>348098</v>
      </c>
      <c r="J295">
        <v>117448</v>
      </c>
      <c r="K295">
        <v>18099</v>
      </c>
      <c r="L295">
        <v>7624</v>
      </c>
      <c r="M295">
        <v>6895</v>
      </c>
      <c r="N295">
        <v>5929</v>
      </c>
      <c r="O295">
        <v>3347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1131932</v>
      </c>
    </row>
    <row r="296" spans="1:51" hidden="1" x14ac:dyDescent="0.2">
      <c r="A296" t="s">
        <v>18</v>
      </c>
      <c r="C296">
        <v>294</v>
      </c>
      <c r="D296">
        <v>8</v>
      </c>
      <c r="E296" t="s">
        <v>377</v>
      </c>
      <c r="F296">
        <v>2014</v>
      </c>
      <c r="H296">
        <v>523161</v>
      </c>
      <c r="I296">
        <v>259800</v>
      </c>
      <c r="J296">
        <v>215763</v>
      </c>
      <c r="K296">
        <v>13190</v>
      </c>
      <c r="L296">
        <v>9150</v>
      </c>
      <c r="M296">
        <v>7094</v>
      </c>
      <c r="N296">
        <v>6969</v>
      </c>
      <c r="O296">
        <v>4262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1039389</v>
      </c>
    </row>
    <row r="297" spans="1:51" hidden="1" x14ac:dyDescent="0.2">
      <c r="A297" t="s">
        <v>18</v>
      </c>
      <c r="C297">
        <v>295</v>
      </c>
      <c r="D297">
        <v>12</v>
      </c>
      <c r="E297" t="s">
        <v>378</v>
      </c>
      <c r="F297">
        <v>2014</v>
      </c>
      <c r="H297">
        <v>439252</v>
      </c>
      <c r="I297">
        <v>249775</v>
      </c>
      <c r="J297">
        <v>145783</v>
      </c>
      <c r="K297">
        <v>29505</v>
      </c>
      <c r="L297">
        <v>8140</v>
      </c>
      <c r="M297">
        <v>7112</v>
      </c>
      <c r="N297">
        <v>3783</v>
      </c>
      <c r="O297">
        <v>3457</v>
      </c>
      <c r="P297">
        <v>1745</v>
      </c>
      <c r="Q297">
        <v>1194</v>
      </c>
      <c r="R297">
        <v>1128</v>
      </c>
      <c r="S297">
        <v>948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891822</v>
      </c>
    </row>
    <row r="298" spans="1:51" hidden="1" x14ac:dyDescent="0.2">
      <c r="A298" t="s">
        <v>18</v>
      </c>
      <c r="C298">
        <v>296</v>
      </c>
      <c r="D298">
        <v>10</v>
      </c>
      <c r="E298" t="s">
        <v>379</v>
      </c>
      <c r="F298">
        <v>2014</v>
      </c>
      <c r="H298">
        <v>541473</v>
      </c>
      <c r="I298">
        <v>229476</v>
      </c>
      <c r="J298">
        <v>67361</v>
      </c>
      <c r="K298">
        <v>15382</v>
      </c>
      <c r="L298">
        <v>11063</v>
      </c>
      <c r="M298">
        <v>9127</v>
      </c>
      <c r="N298">
        <v>7553</v>
      </c>
      <c r="O298">
        <v>5293</v>
      </c>
      <c r="P298">
        <v>5192</v>
      </c>
      <c r="Q298">
        <v>4361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896281</v>
      </c>
    </row>
    <row r="299" spans="1:51" hidden="1" x14ac:dyDescent="0.2">
      <c r="A299" t="s">
        <v>18</v>
      </c>
      <c r="C299">
        <v>297</v>
      </c>
      <c r="D299">
        <v>12</v>
      </c>
      <c r="E299" t="s">
        <v>380</v>
      </c>
      <c r="F299">
        <v>2014</v>
      </c>
      <c r="H299">
        <v>398107</v>
      </c>
      <c r="I299">
        <v>270387</v>
      </c>
      <c r="J299">
        <v>158811</v>
      </c>
      <c r="K299">
        <v>35968</v>
      </c>
      <c r="L299">
        <v>12706</v>
      </c>
      <c r="M299">
        <v>8248</v>
      </c>
      <c r="N299">
        <v>4081</v>
      </c>
      <c r="O299">
        <v>3865</v>
      </c>
      <c r="P299">
        <v>3719</v>
      </c>
      <c r="Q299">
        <v>3383</v>
      </c>
      <c r="R299">
        <v>3314</v>
      </c>
      <c r="S299">
        <v>2773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905362</v>
      </c>
    </row>
    <row r="300" spans="1:51" hidden="1" x14ac:dyDescent="0.2">
      <c r="A300" t="s">
        <v>18</v>
      </c>
      <c r="C300">
        <v>298</v>
      </c>
      <c r="D300">
        <v>10</v>
      </c>
      <c r="E300" t="s">
        <v>381</v>
      </c>
      <c r="F300">
        <v>2014</v>
      </c>
      <c r="H300">
        <v>395109</v>
      </c>
      <c r="I300">
        <v>375781</v>
      </c>
      <c r="J300">
        <v>89788</v>
      </c>
      <c r="K300">
        <v>34957</v>
      </c>
      <c r="L300">
        <v>33232</v>
      </c>
      <c r="M300">
        <v>14854</v>
      </c>
      <c r="N300">
        <v>13861</v>
      </c>
      <c r="O300">
        <v>13343</v>
      </c>
      <c r="P300">
        <v>9609</v>
      </c>
      <c r="Q300">
        <v>8910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989444</v>
      </c>
    </row>
    <row r="301" spans="1:51" hidden="1" x14ac:dyDescent="0.2">
      <c r="A301" t="s">
        <v>19</v>
      </c>
      <c r="C301">
        <v>299</v>
      </c>
      <c r="D301">
        <v>14</v>
      </c>
      <c r="E301" t="s">
        <v>382</v>
      </c>
      <c r="F301">
        <v>2014</v>
      </c>
      <c r="H301">
        <v>482255</v>
      </c>
      <c r="I301">
        <v>346190</v>
      </c>
      <c r="J301">
        <v>173376</v>
      </c>
      <c r="K301">
        <v>11839</v>
      </c>
      <c r="L301">
        <v>5621</v>
      </c>
      <c r="M301">
        <v>4625</v>
      </c>
      <c r="N301">
        <v>4057</v>
      </c>
      <c r="O301">
        <v>3645</v>
      </c>
      <c r="P301">
        <v>2875</v>
      </c>
      <c r="Q301">
        <v>2124</v>
      </c>
      <c r="R301">
        <v>1785</v>
      </c>
      <c r="S301">
        <v>1649</v>
      </c>
      <c r="T301">
        <v>1463</v>
      </c>
      <c r="U301">
        <v>1195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1042699</v>
      </c>
    </row>
    <row r="302" spans="1:51" hidden="1" x14ac:dyDescent="0.2">
      <c r="A302" t="s">
        <v>19</v>
      </c>
      <c r="C302">
        <v>300</v>
      </c>
      <c r="D302">
        <v>24</v>
      </c>
      <c r="E302" t="s">
        <v>383</v>
      </c>
      <c r="F302">
        <v>2014</v>
      </c>
      <c r="H302">
        <v>482876</v>
      </c>
      <c r="I302">
        <v>380106</v>
      </c>
      <c r="J302">
        <v>82633</v>
      </c>
      <c r="K302">
        <v>12902</v>
      </c>
      <c r="L302">
        <v>9023</v>
      </c>
      <c r="M302">
        <v>5870</v>
      </c>
      <c r="N302">
        <v>4350</v>
      </c>
      <c r="O302">
        <v>3294</v>
      </c>
      <c r="P302">
        <v>3083</v>
      </c>
      <c r="Q302">
        <v>2878</v>
      </c>
      <c r="R302">
        <v>2691</v>
      </c>
      <c r="S302">
        <v>2533</v>
      </c>
      <c r="T302">
        <v>2396</v>
      </c>
      <c r="U302">
        <v>2303</v>
      </c>
      <c r="V302">
        <v>2123</v>
      </c>
      <c r="W302">
        <v>1214</v>
      </c>
      <c r="X302">
        <v>1151</v>
      </c>
      <c r="Y302">
        <v>1140</v>
      </c>
      <c r="Z302">
        <v>941</v>
      </c>
      <c r="AA302">
        <v>922</v>
      </c>
      <c r="AB302">
        <v>833</v>
      </c>
      <c r="AC302">
        <v>827</v>
      </c>
      <c r="AD302">
        <v>604</v>
      </c>
      <c r="AE302">
        <v>503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1007196</v>
      </c>
    </row>
    <row r="303" spans="1:51" hidden="1" x14ac:dyDescent="0.2">
      <c r="A303" t="s">
        <v>19</v>
      </c>
      <c r="C303">
        <v>301</v>
      </c>
      <c r="D303">
        <v>18</v>
      </c>
      <c r="E303" t="s">
        <v>384</v>
      </c>
      <c r="F303">
        <v>2014</v>
      </c>
      <c r="H303">
        <v>467332</v>
      </c>
      <c r="I303">
        <v>366763</v>
      </c>
      <c r="J303">
        <v>144521</v>
      </c>
      <c r="K303">
        <v>13990</v>
      </c>
      <c r="L303">
        <v>9307</v>
      </c>
      <c r="M303">
        <v>8491</v>
      </c>
      <c r="N303">
        <v>5624</v>
      </c>
      <c r="O303">
        <v>4329</v>
      </c>
      <c r="P303">
        <v>3804</v>
      </c>
      <c r="Q303">
        <v>3282</v>
      </c>
      <c r="R303">
        <v>3114</v>
      </c>
      <c r="S303">
        <v>2930</v>
      </c>
      <c r="T303">
        <v>1720</v>
      </c>
      <c r="U303">
        <v>1313</v>
      </c>
      <c r="V303">
        <v>1182</v>
      </c>
      <c r="W303">
        <v>1053</v>
      </c>
      <c r="X303">
        <v>962</v>
      </c>
      <c r="Y303">
        <v>801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1040518</v>
      </c>
    </row>
    <row r="304" spans="1:51" hidden="1" x14ac:dyDescent="0.2">
      <c r="A304" t="s">
        <v>19</v>
      </c>
      <c r="C304">
        <v>302</v>
      </c>
      <c r="D304">
        <v>25</v>
      </c>
      <c r="E304" t="s">
        <v>385</v>
      </c>
      <c r="F304">
        <v>2014</v>
      </c>
      <c r="H304">
        <v>380479</v>
      </c>
      <c r="I304">
        <v>309498</v>
      </c>
      <c r="J304">
        <v>254121</v>
      </c>
      <c r="K304">
        <v>46914</v>
      </c>
      <c r="L304">
        <v>10074</v>
      </c>
      <c r="M304">
        <v>6250</v>
      </c>
      <c r="N304">
        <v>5436</v>
      </c>
      <c r="O304">
        <v>3497</v>
      </c>
      <c r="P304">
        <v>3265</v>
      </c>
      <c r="Q304">
        <v>2458</v>
      </c>
      <c r="R304">
        <v>2268</v>
      </c>
      <c r="S304">
        <v>2257</v>
      </c>
      <c r="T304">
        <v>1952</v>
      </c>
      <c r="U304">
        <v>1528</v>
      </c>
      <c r="V304">
        <v>1454</v>
      </c>
      <c r="W304">
        <v>1192</v>
      </c>
      <c r="X304">
        <v>1178</v>
      </c>
      <c r="Y304">
        <v>1082</v>
      </c>
      <c r="Z304">
        <v>1044</v>
      </c>
      <c r="AA304">
        <v>953</v>
      </c>
      <c r="AB304">
        <v>933</v>
      </c>
      <c r="AC304">
        <v>779</v>
      </c>
      <c r="AD304">
        <v>741</v>
      </c>
      <c r="AE304">
        <v>717</v>
      </c>
      <c r="AF304">
        <v>692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1040762</v>
      </c>
    </row>
    <row r="305" spans="1:51" hidden="1" x14ac:dyDescent="0.2">
      <c r="A305" t="s">
        <v>19</v>
      </c>
      <c r="C305">
        <v>303</v>
      </c>
      <c r="D305">
        <v>18</v>
      </c>
      <c r="E305" t="s">
        <v>386</v>
      </c>
      <c r="F305">
        <v>2014</v>
      </c>
      <c r="H305">
        <v>346643</v>
      </c>
      <c r="I305">
        <v>333061</v>
      </c>
      <c r="J305">
        <v>213388</v>
      </c>
      <c r="K305">
        <v>40497</v>
      </c>
      <c r="L305">
        <v>5976</v>
      </c>
      <c r="M305">
        <v>3216</v>
      </c>
      <c r="N305">
        <v>2564</v>
      </c>
      <c r="O305">
        <v>2527</v>
      </c>
      <c r="P305">
        <v>2158</v>
      </c>
      <c r="Q305">
        <v>1853</v>
      </c>
      <c r="R305">
        <v>1689</v>
      </c>
      <c r="S305">
        <v>1488</v>
      </c>
      <c r="T305">
        <v>1446</v>
      </c>
      <c r="U305">
        <v>1230</v>
      </c>
      <c r="V305">
        <v>1062</v>
      </c>
      <c r="W305">
        <v>911</v>
      </c>
      <c r="X305">
        <v>889</v>
      </c>
      <c r="Y305">
        <v>699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961297</v>
      </c>
    </row>
    <row r="306" spans="1:51" hidden="1" x14ac:dyDescent="0.2">
      <c r="A306" t="s">
        <v>19</v>
      </c>
      <c r="C306">
        <v>304</v>
      </c>
      <c r="D306">
        <v>19</v>
      </c>
      <c r="E306" t="s">
        <v>387</v>
      </c>
      <c r="F306">
        <v>2014</v>
      </c>
      <c r="H306">
        <v>347394</v>
      </c>
      <c r="I306">
        <v>323697</v>
      </c>
      <c r="J306">
        <v>306008</v>
      </c>
      <c r="K306">
        <v>69124</v>
      </c>
      <c r="L306">
        <v>10483</v>
      </c>
      <c r="M306">
        <v>5937</v>
      </c>
      <c r="N306">
        <v>4250</v>
      </c>
      <c r="O306">
        <v>3869</v>
      </c>
      <c r="P306">
        <v>2713</v>
      </c>
      <c r="Q306">
        <v>1995</v>
      </c>
      <c r="R306">
        <v>1943</v>
      </c>
      <c r="S306">
        <v>1706</v>
      </c>
      <c r="T306">
        <v>1427</v>
      </c>
      <c r="U306">
        <v>1423</v>
      </c>
      <c r="V306">
        <v>1307</v>
      </c>
      <c r="W306">
        <v>1010</v>
      </c>
      <c r="X306">
        <v>837</v>
      </c>
      <c r="Y306">
        <v>722</v>
      </c>
      <c r="Z306">
        <v>718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1086563</v>
      </c>
    </row>
    <row r="307" spans="1:51" hidden="1" x14ac:dyDescent="0.2">
      <c r="A307" t="s">
        <v>19</v>
      </c>
      <c r="C307">
        <v>305</v>
      </c>
      <c r="D307">
        <v>23</v>
      </c>
      <c r="E307" t="s">
        <v>388</v>
      </c>
      <c r="F307">
        <v>2014</v>
      </c>
      <c r="H307">
        <v>300459</v>
      </c>
      <c r="I307">
        <v>280750</v>
      </c>
      <c r="J307">
        <v>256590</v>
      </c>
      <c r="K307">
        <v>210917</v>
      </c>
      <c r="L307">
        <v>8317</v>
      </c>
      <c r="M307">
        <v>4653</v>
      </c>
      <c r="N307">
        <v>4509</v>
      </c>
      <c r="O307">
        <v>4167</v>
      </c>
      <c r="P307">
        <v>3980</v>
      </c>
      <c r="Q307">
        <v>3238</v>
      </c>
      <c r="R307">
        <v>3220</v>
      </c>
      <c r="S307">
        <v>3144</v>
      </c>
      <c r="T307">
        <v>2925</v>
      </c>
      <c r="U307">
        <v>1984</v>
      </c>
      <c r="V307">
        <v>1934</v>
      </c>
      <c r="W307">
        <v>1519</v>
      </c>
      <c r="X307">
        <v>1483</v>
      </c>
      <c r="Y307">
        <v>1286</v>
      </c>
      <c r="Z307">
        <v>1168</v>
      </c>
      <c r="AA307">
        <v>1111</v>
      </c>
      <c r="AB307">
        <v>1089</v>
      </c>
      <c r="AC307">
        <v>1028</v>
      </c>
      <c r="AD307">
        <v>986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1100457</v>
      </c>
    </row>
    <row r="308" spans="1:51" hidden="1" x14ac:dyDescent="0.2">
      <c r="A308" t="s">
        <v>19</v>
      </c>
      <c r="C308">
        <v>306</v>
      </c>
      <c r="D308">
        <v>16</v>
      </c>
      <c r="E308" t="s">
        <v>389</v>
      </c>
      <c r="F308">
        <v>2014</v>
      </c>
      <c r="H308">
        <v>367293</v>
      </c>
      <c r="I308">
        <v>313149</v>
      </c>
      <c r="J308">
        <v>312815</v>
      </c>
      <c r="K308">
        <v>12683</v>
      </c>
      <c r="L308">
        <v>4005</v>
      </c>
      <c r="M308">
        <v>3173</v>
      </c>
      <c r="N308">
        <v>2852</v>
      </c>
      <c r="O308">
        <v>2352</v>
      </c>
      <c r="P308">
        <v>2149</v>
      </c>
      <c r="Q308">
        <v>2141</v>
      </c>
      <c r="R308">
        <v>1930</v>
      </c>
      <c r="S308">
        <v>1733</v>
      </c>
      <c r="T308">
        <v>1679</v>
      </c>
      <c r="U308">
        <v>1266</v>
      </c>
      <c r="V308">
        <v>886</v>
      </c>
      <c r="W308">
        <v>848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1030954</v>
      </c>
    </row>
    <row r="309" spans="1:51" hidden="1" x14ac:dyDescent="0.2">
      <c r="A309" t="s">
        <v>19</v>
      </c>
      <c r="C309">
        <v>307</v>
      </c>
      <c r="D309">
        <v>20</v>
      </c>
      <c r="E309" t="s">
        <v>390</v>
      </c>
      <c r="F309">
        <v>2014</v>
      </c>
      <c r="H309">
        <v>450751</v>
      </c>
      <c r="I309">
        <v>278235</v>
      </c>
      <c r="J309">
        <v>251222</v>
      </c>
      <c r="K309">
        <v>14573</v>
      </c>
      <c r="L309">
        <v>8282</v>
      </c>
      <c r="M309">
        <v>3816</v>
      </c>
      <c r="N309">
        <v>3680</v>
      </c>
      <c r="O309">
        <v>2667</v>
      </c>
      <c r="P309">
        <v>2473</v>
      </c>
      <c r="Q309">
        <v>2213</v>
      </c>
      <c r="R309">
        <v>1726</v>
      </c>
      <c r="S309">
        <v>1693</v>
      </c>
      <c r="T309">
        <v>1623</v>
      </c>
      <c r="U309">
        <v>1605</v>
      </c>
      <c r="V309">
        <v>1531</v>
      </c>
      <c r="W309">
        <v>1512</v>
      </c>
      <c r="X309">
        <v>1358</v>
      </c>
      <c r="Y309">
        <v>1159</v>
      </c>
      <c r="Z309">
        <v>1123</v>
      </c>
      <c r="AA309">
        <v>865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1032107</v>
      </c>
    </row>
    <row r="310" spans="1:51" hidden="1" x14ac:dyDescent="0.2">
      <c r="A310" t="s">
        <v>19</v>
      </c>
      <c r="C310">
        <v>308</v>
      </c>
      <c r="D310">
        <v>16</v>
      </c>
      <c r="E310" t="s">
        <v>391</v>
      </c>
      <c r="F310">
        <v>2014</v>
      </c>
      <c r="H310">
        <v>487932</v>
      </c>
      <c r="I310">
        <v>456512</v>
      </c>
      <c r="J310">
        <v>113412</v>
      </c>
      <c r="K310">
        <v>22274</v>
      </c>
      <c r="L310">
        <v>7685</v>
      </c>
      <c r="M310">
        <v>3655</v>
      </c>
      <c r="N310">
        <v>3311</v>
      </c>
      <c r="O310">
        <v>1896</v>
      </c>
      <c r="P310">
        <v>1759</v>
      </c>
      <c r="Q310">
        <v>1546</v>
      </c>
      <c r="R310">
        <v>1237</v>
      </c>
      <c r="S310">
        <v>1088</v>
      </c>
      <c r="T310">
        <v>976</v>
      </c>
      <c r="U310">
        <v>766</v>
      </c>
      <c r="V310">
        <v>682</v>
      </c>
      <c r="W310">
        <v>681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1105412</v>
      </c>
    </row>
    <row r="311" spans="1:51" hidden="1" x14ac:dyDescent="0.2">
      <c r="A311" t="s">
        <v>19</v>
      </c>
      <c r="C311">
        <v>309</v>
      </c>
      <c r="D311">
        <v>30</v>
      </c>
      <c r="E311" t="s">
        <v>392</v>
      </c>
      <c r="F311">
        <v>2014</v>
      </c>
      <c r="H311">
        <v>514727</v>
      </c>
      <c r="I311">
        <v>495332</v>
      </c>
      <c r="J311">
        <v>87901</v>
      </c>
      <c r="K311">
        <v>13732</v>
      </c>
      <c r="L311">
        <v>6626</v>
      </c>
      <c r="M311">
        <v>5984</v>
      </c>
      <c r="N311">
        <v>5936</v>
      </c>
      <c r="O311">
        <v>4701</v>
      </c>
      <c r="P311">
        <v>4618</v>
      </c>
      <c r="Q311">
        <v>4610</v>
      </c>
      <c r="R311">
        <v>4380</v>
      </c>
      <c r="S311">
        <v>2833</v>
      </c>
      <c r="T311">
        <v>2587</v>
      </c>
      <c r="U311">
        <v>2258</v>
      </c>
      <c r="V311">
        <v>2077</v>
      </c>
      <c r="W311">
        <v>1960</v>
      </c>
      <c r="X311">
        <v>1893</v>
      </c>
      <c r="Y311">
        <v>1665</v>
      </c>
      <c r="Z311">
        <v>1487</v>
      </c>
      <c r="AA311">
        <v>1404</v>
      </c>
      <c r="AB311">
        <v>1386</v>
      </c>
      <c r="AC311">
        <v>1330</v>
      </c>
      <c r="AD311">
        <v>1248</v>
      </c>
      <c r="AE311">
        <v>1086</v>
      </c>
      <c r="AF311">
        <v>955</v>
      </c>
      <c r="AG311">
        <v>944</v>
      </c>
      <c r="AH311">
        <v>916</v>
      </c>
      <c r="AI311">
        <v>820</v>
      </c>
      <c r="AJ311">
        <v>703</v>
      </c>
      <c r="AK311">
        <v>668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1176767</v>
      </c>
    </row>
    <row r="312" spans="1:51" hidden="1" x14ac:dyDescent="0.2">
      <c r="A312" t="s">
        <v>19</v>
      </c>
      <c r="C312">
        <v>310</v>
      </c>
      <c r="D312">
        <v>22</v>
      </c>
      <c r="E312" t="s">
        <v>393</v>
      </c>
      <c r="F312">
        <v>2014</v>
      </c>
      <c r="H312">
        <v>533237</v>
      </c>
      <c r="I312">
        <v>321516</v>
      </c>
      <c r="J312">
        <v>181410</v>
      </c>
      <c r="K312">
        <v>8408</v>
      </c>
      <c r="L312">
        <v>6934</v>
      </c>
      <c r="M312">
        <v>6830</v>
      </c>
      <c r="N312">
        <v>5879</v>
      </c>
      <c r="O312">
        <v>5395</v>
      </c>
      <c r="P312">
        <v>4127</v>
      </c>
      <c r="Q312">
        <v>3315</v>
      </c>
      <c r="R312">
        <v>3290</v>
      </c>
      <c r="S312">
        <v>2746</v>
      </c>
      <c r="T312">
        <v>2334</v>
      </c>
      <c r="U312">
        <v>2261</v>
      </c>
      <c r="V312">
        <v>2188</v>
      </c>
      <c r="W312">
        <v>1854</v>
      </c>
      <c r="X312">
        <v>1601</v>
      </c>
      <c r="Y312">
        <v>1556</v>
      </c>
      <c r="Z312">
        <v>1486</v>
      </c>
      <c r="AA312">
        <v>1233</v>
      </c>
      <c r="AB312">
        <v>1069</v>
      </c>
      <c r="AC312">
        <v>798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1099467</v>
      </c>
    </row>
    <row r="313" spans="1:51" hidden="1" x14ac:dyDescent="0.2">
      <c r="A313" t="s">
        <v>19</v>
      </c>
      <c r="C313">
        <v>311</v>
      </c>
      <c r="D313">
        <v>21</v>
      </c>
      <c r="E313" t="s">
        <v>394</v>
      </c>
      <c r="F313">
        <v>2014</v>
      </c>
      <c r="H313">
        <v>365671</v>
      </c>
      <c r="I313">
        <v>344729</v>
      </c>
      <c r="J313">
        <v>340109</v>
      </c>
      <c r="K313">
        <v>15313</v>
      </c>
      <c r="L313">
        <v>13014</v>
      </c>
      <c r="M313">
        <v>8537</v>
      </c>
      <c r="N313">
        <v>4915</v>
      </c>
      <c r="O313">
        <v>4089</v>
      </c>
      <c r="P313">
        <v>3008</v>
      </c>
      <c r="Q313">
        <v>2773</v>
      </c>
      <c r="R313">
        <v>2625</v>
      </c>
      <c r="S313">
        <v>2378</v>
      </c>
      <c r="T313">
        <v>2325</v>
      </c>
      <c r="U313">
        <v>2217</v>
      </c>
      <c r="V313">
        <v>2178</v>
      </c>
      <c r="W313">
        <v>1625</v>
      </c>
      <c r="X313">
        <v>1271</v>
      </c>
      <c r="Y313">
        <v>1234</v>
      </c>
      <c r="Z313">
        <v>1177</v>
      </c>
      <c r="AA313">
        <v>936</v>
      </c>
      <c r="AB313">
        <v>809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1120933</v>
      </c>
    </row>
    <row r="314" spans="1:51" hidden="1" x14ac:dyDescent="0.2">
      <c r="A314" t="s">
        <v>20</v>
      </c>
      <c r="C314">
        <v>312</v>
      </c>
      <c r="D314">
        <v>18</v>
      </c>
      <c r="E314" t="s">
        <v>395</v>
      </c>
      <c r="F314">
        <v>2014</v>
      </c>
      <c r="H314">
        <v>658130</v>
      </c>
      <c r="I314">
        <v>366389</v>
      </c>
      <c r="J314">
        <v>106585</v>
      </c>
      <c r="K314">
        <v>40016</v>
      </c>
      <c r="L314">
        <v>14944</v>
      </c>
      <c r="M314">
        <v>11981</v>
      </c>
      <c r="N314">
        <v>8788</v>
      </c>
      <c r="O314">
        <v>6918</v>
      </c>
      <c r="P314">
        <v>6686</v>
      </c>
      <c r="Q314">
        <v>5364</v>
      </c>
      <c r="R314">
        <v>5232</v>
      </c>
      <c r="S314">
        <v>5025</v>
      </c>
      <c r="T314">
        <v>3924</v>
      </c>
      <c r="U314">
        <v>3750</v>
      </c>
      <c r="V314">
        <v>3729</v>
      </c>
      <c r="W314">
        <v>3395</v>
      </c>
      <c r="X314">
        <v>3007</v>
      </c>
      <c r="Y314">
        <v>2943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1256806</v>
      </c>
    </row>
    <row r="315" spans="1:51" hidden="1" x14ac:dyDescent="0.2">
      <c r="A315" t="s">
        <v>20</v>
      </c>
      <c r="C315">
        <v>313</v>
      </c>
      <c r="D315">
        <v>9</v>
      </c>
      <c r="E315" t="s">
        <v>396</v>
      </c>
      <c r="F315">
        <v>2014</v>
      </c>
      <c r="H315">
        <v>584932</v>
      </c>
      <c r="I315">
        <v>276853</v>
      </c>
      <c r="J315">
        <v>16839</v>
      </c>
      <c r="K315">
        <v>14148</v>
      </c>
      <c r="L315">
        <v>13492</v>
      </c>
      <c r="M315">
        <v>11387</v>
      </c>
      <c r="N315">
        <v>5164</v>
      </c>
      <c r="O315">
        <v>4398</v>
      </c>
      <c r="P315">
        <v>2538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929751</v>
      </c>
    </row>
    <row r="316" spans="1:51" hidden="1" x14ac:dyDescent="0.2">
      <c r="A316" t="s">
        <v>20</v>
      </c>
      <c r="C316">
        <v>314</v>
      </c>
      <c r="D316">
        <v>13</v>
      </c>
      <c r="E316" t="s">
        <v>397</v>
      </c>
      <c r="F316">
        <v>2014</v>
      </c>
      <c r="H316">
        <v>595756</v>
      </c>
      <c r="I316">
        <v>301017</v>
      </c>
      <c r="J316">
        <v>176912</v>
      </c>
      <c r="K316">
        <v>13977</v>
      </c>
      <c r="L316">
        <v>11293</v>
      </c>
      <c r="M316">
        <v>10778</v>
      </c>
      <c r="N316">
        <v>4018</v>
      </c>
      <c r="O316">
        <v>3991</v>
      </c>
      <c r="P316">
        <v>3727</v>
      </c>
      <c r="Q316">
        <v>2938</v>
      </c>
      <c r="R316">
        <v>2330</v>
      </c>
      <c r="S316">
        <v>2313</v>
      </c>
      <c r="T316">
        <v>2054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1131104</v>
      </c>
    </row>
    <row r="317" spans="1:51" hidden="1" x14ac:dyDescent="0.2">
      <c r="A317" t="s">
        <v>20</v>
      </c>
      <c r="C317">
        <v>315</v>
      </c>
      <c r="D317">
        <v>13</v>
      </c>
      <c r="E317" t="s">
        <v>398</v>
      </c>
      <c r="F317">
        <v>2014</v>
      </c>
      <c r="H317">
        <v>488182</v>
      </c>
      <c r="I317">
        <v>254347</v>
      </c>
      <c r="J317">
        <v>206288</v>
      </c>
      <c r="K317">
        <v>11740</v>
      </c>
      <c r="L317">
        <v>10423</v>
      </c>
      <c r="M317">
        <v>10386</v>
      </c>
      <c r="N317">
        <v>8038</v>
      </c>
      <c r="O317">
        <v>5581</v>
      </c>
      <c r="P317">
        <v>2979</v>
      </c>
      <c r="Q317">
        <v>2932</v>
      </c>
      <c r="R317">
        <v>2506</v>
      </c>
      <c r="S317">
        <v>1885</v>
      </c>
      <c r="T317">
        <v>1178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1006465</v>
      </c>
    </row>
    <row r="318" spans="1:51" hidden="1" x14ac:dyDescent="0.2">
      <c r="A318" t="s">
        <v>20</v>
      </c>
      <c r="C318">
        <v>316</v>
      </c>
      <c r="D318">
        <v>16</v>
      </c>
      <c r="E318" t="s">
        <v>399</v>
      </c>
      <c r="F318">
        <v>2014</v>
      </c>
      <c r="H318">
        <v>499428</v>
      </c>
      <c r="I318">
        <v>260232</v>
      </c>
      <c r="J318">
        <v>188841</v>
      </c>
      <c r="K318">
        <v>53134</v>
      </c>
      <c r="L318">
        <v>15666</v>
      </c>
      <c r="M318">
        <v>10666</v>
      </c>
      <c r="N318">
        <v>7410</v>
      </c>
      <c r="O318">
        <v>7036</v>
      </c>
      <c r="P318">
        <v>5387</v>
      </c>
      <c r="Q318">
        <v>4375</v>
      </c>
      <c r="R318">
        <v>4112</v>
      </c>
      <c r="S318">
        <v>3633</v>
      </c>
      <c r="T318">
        <v>2169</v>
      </c>
      <c r="U318">
        <v>1635</v>
      </c>
      <c r="V318">
        <v>1058</v>
      </c>
      <c r="W318">
        <v>968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1065750</v>
      </c>
    </row>
    <row r="319" spans="1:51" hidden="1" x14ac:dyDescent="0.2">
      <c r="A319" t="s">
        <v>20</v>
      </c>
      <c r="C319">
        <v>317</v>
      </c>
      <c r="D319">
        <v>13</v>
      </c>
      <c r="E319" t="s">
        <v>400</v>
      </c>
      <c r="F319">
        <v>2014</v>
      </c>
      <c r="H319">
        <v>632930</v>
      </c>
      <c r="I319">
        <v>300034</v>
      </c>
      <c r="J319">
        <v>31617</v>
      </c>
      <c r="K319">
        <v>11533</v>
      </c>
      <c r="L319">
        <v>9480</v>
      </c>
      <c r="M319">
        <v>6917</v>
      </c>
      <c r="N319">
        <v>5774</v>
      </c>
      <c r="O319">
        <v>4520</v>
      </c>
      <c r="P319">
        <v>3722</v>
      </c>
      <c r="Q319">
        <v>3047</v>
      </c>
      <c r="R319">
        <v>1412</v>
      </c>
      <c r="S319">
        <v>1378</v>
      </c>
      <c r="T319">
        <v>1327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1013691</v>
      </c>
    </row>
    <row r="320" spans="1:51" hidden="1" x14ac:dyDescent="0.2">
      <c r="A320" t="s">
        <v>20</v>
      </c>
      <c r="C320">
        <v>318</v>
      </c>
      <c r="D320">
        <v>17</v>
      </c>
      <c r="E320" t="s">
        <v>401</v>
      </c>
      <c r="F320">
        <v>2014</v>
      </c>
      <c r="H320">
        <v>863358</v>
      </c>
      <c r="I320">
        <v>324013</v>
      </c>
      <c r="J320">
        <v>55118</v>
      </c>
      <c r="K320">
        <v>15597</v>
      </c>
      <c r="L320">
        <v>8345</v>
      </c>
      <c r="M320">
        <v>5193</v>
      </c>
      <c r="N320">
        <v>5020</v>
      </c>
      <c r="O320">
        <v>4856</v>
      </c>
      <c r="P320">
        <v>4599</v>
      </c>
      <c r="Q320">
        <v>2072</v>
      </c>
      <c r="R320">
        <v>1987</v>
      </c>
      <c r="S320">
        <v>1899</v>
      </c>
      <c r="T320">
        <v>1566</v>
      </c>
      <c r="U320">
        <v>1103</v>
      </c>
      <c r="V320">
        <v>893</v>
      </c>
      <c r="W320">
        <v>621</v>
      </c>
      <c r="X320">
        <v>566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1296806</v>
      </c>
    </row>
    <row r="321" spans="1:51" hidden="1" x14ac:dyDescent="0.2">
      <c r="A321" t="s">
        <v>20</v>
      </c>
      <c r="C321">
        <v>319</v>
      </c>
      <c r="D321">
        <v>20</v>
      </c>
      <c r="E321" t="s">
        <v>402</v>
      </c>
      <c r="F321">
        <v>2014</v>
      </c>
      <c r="H321">
        <v>642278</v>
      </c>
      <c r="I321">
        <v>358383</v>
      </c>
      <c r="J321">
        <v>19483</v>
      </c>
      <c r="K321">
        <v>8517</v>
      </c>
      <c r="L321">
        <v>3672</v>
      </c>
      <c r="M321">
        <v>3612</v>
      </c>
      <c r="N321">
        <v>3580</v>
      </c>
      <c r="O321">
        <v>3412</v>
      </c>
      <c r="P321">
        <v>3390</v>
      </c>
      <c r="Q321">
        <v>2572</v>
      </c>
      <c r="R321">
        <v>2512</v>
      </c>
      <c r="S321">
        <v>2160</v>
      </c>
      <c r="T321">
        <v>2104</v>
      </c>
      <c r="U321">
        <v>1845</v>
      </c>
      <c r="V321">
        <v>1227</v>
      </c>
      <c r="W321">
        <v>1187</v>
      </c>
      <c r="X321">
        <v>702</v>
      </c>
      <c r="Y321">
        <v>662</v>
      </c>
      <c r="Z321">
        <v>566</v>
      </c>
      <c r="AA321">
        <v>441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1062305</v>
      </c>
    </row>
    <row r="322" spans="1:51" hidden="1" x14ac:dyDescent="0.2">
      <c r="A322" t="s">
        <v>20</v>
      </c>
      <c r="C322">
        <v>320</v>
      </c>
      <c r="D322">
        <v>13</v>
      </c>
      <c r="E322" t="s">
        <v>403</v>
      </c>
      <c r="F322">
        <v>2014</v>
      </c>
      <c r="H322">
        <v>579825</v>
      </c>
      <c r="I322">
        <v>334357</v>
      </c>
      <c r="J322">
        <v>22090</v>
      </c>
      <c r="K322">
        <v>7013</v>
      </c>
      <c r="L322">
        <v>5935</v>
      </c>
      <c r="M322">
        <v>3969</v>
      </c>
      <c r="N322">
        <v>2071</v>
      </c>
      <c r="O322">
        <v>1792</v>
      </c>
      <c r="P322">
        <v>1787</v>
      </c>
      <c r="Q322">
        <v>1187</v>
      </c>
      <c r="R322">
        <v>960</v>
      </c>
      <c r="S322">
        <v>835</v>
      </c>
      <c r="T322">
        <v>611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962432</v>
      </c>
    </row>
    <row r="323" spans="1:51" hidden="1" x14ac:dyDescent="0.2">
      <c r="A323" t="s">
        <v>20</v>
      </c>
      <c r="C323">
        <v>321</v>
      </c>
      <c r="D323">
        <v>15</v>
      </c>
      <c r="E323" t="s">
        <v>404</v>
      </c>
      <c r="F323">
        <v>2014</v>
      </c>
      <c r="H323">
        <v>402407</v>
      </c>
      <c r="I323">
        <v>375191</v>
      </c>
      <c r="J323">
        <v>25150</v>
      </c>
      <c r="K323">
        <v>9458</v>
      </c>
      <c r="L323">
        <v>7286</v>
      </c>
      <c r="M323">
        <v>5934</v>
      </c>
      <c r="N323">
        <v>4767</v>
      </c>
      <c r="O323">
        <v>3726</v>
      </c>
      <c r="P323">
        <v>3376</v>
      </c>
      <c r="Q323">
        <v>3014</v>
      </c>
      <c r="R323">
        <v>1629</v>
      </c>
      <c r="S323">
        <v>1385</v>
      </c>
      <c r="T323">
        <v>951</v>
      </c>
      <c r="U323">
        <v>922</v>
      </c>
      <c r="V323">
        <v>745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845941</v>
      </c>
    </row>
    <row r="324" spans="1:51" hidden="1" x14ac:dyDescent="0.2">
      <c r="A324" t="s">
        <v>20</v>
      </c>
      <c r="C324">
        <v>322</v>
      </c>
      <c r="D324">
        <v>15</v>
      </c>
      <c r="E324" t="s">
        <v>405</v>
      </c>
      <c r="F324">
        <v>2014</v>
      </c>
      <c r="H324">
        <v>315059</v>
      </c>
      <c r="I324">
        <v>269655</v>
      </c>
      <c r="J324">
        <v>181272</v>
      </c>
      <c r="K324">
        <v>82549</v>
      </c>
      <c r="L324">
        <v>20037</v>
      </c>
      <c r="M324">
        <v>16935</v>
      </c>
      <c r="N324">
        <v>15303</v>
      </c>
      <c r="O324">
        <v>8410</v>
      </c>
      <c r="P324">
        <v>5792</v>
      </c>
      <c r="Q324">
        <v>4297</v>
      </c>
      <c r="R324">
        <v>3202</v>
      </c>
      <c r="S324">
        <v>3072</v>
      </c>
      <c r="T324">
        <v>2357</v>
      </c>
      <c r="U324">
        <v>1635</v>
      </c>
      <c r="V324">
        <v>917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930492</v>
      </c>
    </row>
    <row r="325" spans="1:51" hidden="1" x14ac:dyDescent="0.2">
      <c r="A325" t="s">
        <v>20</v>
      </c>
      <c r="C325">
        <v>323</v>
      </c>
      <c r="D325">
        <v>23</v>
      </c>
      <c r="E325" t="s">
        <v>406</v>
      </c>
      <c r="F325">
        <v>2014</v>
      </c>
      <c r="H325">
        <v>548537</v>
      </c>
      <c r="I325">
        <v>413031</v>
      </c>
      <c r="J325">
        <v>14604</v>
      </c>
      <c r="K325">
        <v>10523</v>
      </c>
      <c r="L325">
        <v>10395</v>
      </c>
      <c r="M325">
        <v>7204</v>
      </c>
      <c r="N325">
        <v>6523</v>
      </c>
      <c r="O325">
        <v>6186</v>
      </c>
      <c r="P325">
        <v>3673</v>
      </c>
      <c r="Q325">
        <v>3127</v>
      </c>
      <c r="R325">
        <v>2668</v>
      </c>
      <c r="S325">
        <v>2363</v>
      </c>
      <c r="T325">
        <v>2210</v>
      </c>
      <c r="U325">
        <v>2151</v>
      </c>
      <c r="V325">
        <v>1925</v>
      </c>
      <c r="W325">
        <v>1726</v>
      </c>
      <c r="X325">
        <v>1616</v>
      </c>
      <c r="Y325">
        <v>1105</v>
      </c>
      <c r="Z325">
        <v>1048</v>
      </c>
      <c r="AA325">
        <v>869</v>
      </c>
      <c r="AB325">
        <v>752</v>
      </c>
      <c r="AC325">
        <v>703</v>
      </c>
      <c r="AD325">
        <v>699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1043638</v>
      </c>
    </row>
    <row r="326" spans="1:51" hidden="1" x14ac:dyDescent="0.2">
      <c r="A326" t="s">
        <v>20</v>
      </c>
      <c r="C326">
        <v>324</v>
      </c>
      <c r="D326">
        <v>13</v>
      </c>
      <c r="E326" t="s">
        <v>407</v>
      </c>
      <c r="F326">
        <v>2014</v>
      </c>
      <c r="H326">
        <v>637874</v>
      </c>
      <c r="I326">
        <v>465891</v>
      </c>
      <c r="J326">
        <v>12546</v>
      </c>
      <c r="K326">
        <v>12149</v>
      </c>
      <c r="L326">
        <v>7974</v>
      </c>
      <c r="M326">
        <v>5184</v>
      </c>
      <c r="N326">
        <v>4970</v>
      </c>
      <c r="O326">
        <v>3518</v>
      </c>
      <c r="P326">
        <v>1869</v>
      </c>
      <c r="Q326">
        <v>1374</v>
      </c>
      <c r="R326">
        <v>1040</v>
      </c>
      <c r="S326">
        <v>1015</v>
      </c>
      <c r="T326">
        <v>910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1156314</v>
      </c>
    </row>
    <row r="327" spans="1:51" hidden="1" x14ac:dyDescent="0.2">
      <c r="A327" t="s">
        <v>20</v>
      </c>
      <c r="C327">
        <v>325</v>
      </c>
      <c r="D327">
        <v>14</v>
      </c>
      <c r="E327" t="s">
        <v>408</v>
      </c>
      <c r="F327">
        <v>2014</v>
      </c>
      <c r="H327">
        <v>414791</v>
      </c>
      <c r="I327">
        <v>339573</v>
      </c>
      <c r="J327">
        <v>159980</v>
      </c>
      <c r="K327">
        <v>15234</v>
      </c>
      <c r="L327">
        <v>12185</v>
      </c>
      <c r="M327">
        <v>11352</v>
      </c>
      <c r="N327">
        <v>11239</v>
      </c>
      <c r="O327">
        <v>8658</v>
      </c>
      <c r="P327">
        <v>7300</v>
      </c>
      <c r="Q327">
        <v>5776</v>
      </c>
      <c r="R327">
        <v>5251</v>
      </c>
      <c r="S327">
        <v>4372</v>
      </c>
      <c r="T327">
        <v>4332</v>
      </c>
      <c r="U327">
        <v>3976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1004019</v>
      </c>
    </row>
    <row r="328" spans="1:51" hidden="1" x14ac:dyDescent="0.2">
      <c r="A328" t="s">
        <v>20</v>
      </c>
      <c r="C328">
        <v>326</v>
      </c>
      <c r="D328">
        <v>14</v>
      </c>
      <c r="E328" t="s">
        <v>409</v>
      </c>
      <c r="F328">
        <v>2014</v>
      </c>
      <c r="H328">
        <v>711772</v>
      </c>
      <c r="I328">
        <v>312733</v>
      </c>
      <c r="J328">
        <v>17703</v>
      </c>
      <c r="K328">
        <v>16469</v>
      </c>
      <c r="L328">
        <v>7186</v>
      </c>
      <c r="M328">
        <v>5794</v>
      </c>
      <c r="N328">
        <v>5198</v>
      </c>
      <c r="O328">
        <v>5031</v>
      </c>
      <c r="P328">
        <v>3306</v>
      </c>
      <c r="Q328">
        <v>2825</v>
      </c>
      <c r="R328">
        <v>2358</v>
      </c>
      <c r="S328">
        <v>2058</v>
      </c>
      <c r="T328">
        <v>1890</v>
      </c>
      <c r="U328">
        <v>1264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1095587</v>
      </c>
    </row>
    <row r="329" spans="1:51" hidden="1" x14ac:dyDescent="0.2">
      <c r="A329" t="s">
        <v>20</v>
      </c>
      <c r="C329">
        <v>327</v>
      </c>
      <c r="D329">
        <v>14</v>
      </c>
      <c r="E329" t="s">
        <v>410</v>
      </c>
      <c r="F329">
        <v>2014</v>
      </c>
      <c r="H329">
        <v>713515</v>
      </c>
      <c r="I329">
        <v>303464</v>
      </c>
      <c r="J329">
        <v>15085</v>
      </c>
      <c r="K329">
        <v>13511</v>
      </c>
      <c r="L329">
        <v>8552</v>
      </c>
      <c r="M329">
        <v>7104</v>
      </c>
      <c r="N329">
        <v>4855</v>
      </c>
      <c r="O329">
        <v>3764</v>
      </c>
      <c r="P329">
        <v>2631</v>
      </c>
      <c r="Q329">
        <v>2321</v>
      </c>
      <c r="R329">
        <v>1206</v>
      </c>
      <c r="S329">
        <v>1041</v>
      </c>
      <c r="T329">
        <v>831</v>
      </c>
      <c r="U329">
        <v>718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1078598</v>
      </c>
    </row>
    <row r="330" spans="1:51" hidden="1" x14ac:dyDescent="0.2">
      <c r="A330" t="s">
        <v>20</v>
      </c>
      <c r="C330">
        <v>328</v>
      </c>
      <c r="D330">
        <v>12</v>
      </c>
      <c r="E330" t="s">
        <v>411</v>
      </c>
      <c r="F330">
        <v>2014</v>
      </c>
      <c r="H330">
        <v>488747</v>
      </c>
      <c r="I330">
        <v>401286</v>
      </c>
      <c r="J330">
        <v>220881</v>
      </c>
      <c r="K330">
        <v>17563</v>
      </c>
      <c r="L330">
        <v>15889</v>
      </c>
      <c r="M330">
        <v>14906</v>
      </c>
      <c r="N330">
        <v>13924</v>
      </c>
      <c r="O330">
        <v>12883</v>
      </c>
      <c r="P330">
        <v>12366</v>
      </c>
      <c r="Q330">
        <v>7557</v>
      </c>
      <c r="R330">
        <v>6737</v>
      </c>
      <c r="S330">
        <v>6380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1219119</v>
      </c>
    </row>
    <row r="331" spans="1:51" hidden="1" x14ac:dyDescent="0.2">
      <c r="A331" t="s">
        <v>20</v>
      </c>
      <c r="C331">
        <v>329</v>
      </c>
      <c r="D331">
        <v>17</v>
      </c>
      <c r="E331" t="s">
        <v>412</v>
      </c>
      <c r="F331">
        <v>2014</v>
      </c>
      <c r="H331">
        <v>580508</v>
      </c>
      <c r="I331">
        <v>199363</v>
      </c>
      <c r="J331">
        <v>175344</v>
      </c>
      <c r="K331">
        <v>29998</v>
      </c>
      <c r="L331">
        <v>16399</v>
      </c>
      <c r="M331">
        <v>15811</v>
      </c>
      <c r="N331">
        <v>13008</v>
      </c>
      <c r="O331">
        <v>11183</v>
      </c>
      <c r="P331">
        <v>10316</v>
      </c>
      <c r="Q331">
        <v>9875</v>
      </c>
      <c r="R331">
        <v>6146</v>
      </c>
      <c r="S331">
        <v>4817</v>
      </c>
      <c r="T331">
        <v>3960</v>
      </c>
      <c r="U331">
        <v>3200</v>
      </c>
      <c r="V331">
        <v>2731</v>
      </c>
      <c r="W331">
        <v>2596</v>
      </c>
      <c r="X331">
        <v>2017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1087272</v>
      </c>
    </row>
    <row r="332" spans="1:51" hidden="1" x14ac:dyDescent="0.2">
      <c r="A332" t="s">
        <v>20</v>
      </c>
      <c r="C332">
        <v>330</v>
      </c>
      <c r="D332">
        <v>9</v>
      </c>
      <c r="E332" t="s">
        <v>413</v>
      </c>
      <c r="F332">
        <v>2014</v>
      </c>
      <c r="H332">
        <v>660373</v>
      </c>
      <c r="I332">
        <v>423611</v>
      </c>
      <c r="J332">
        <v>33743</v>
      </c>
      <c r="K332">
        <v>26685</v>
      </c>
      <c r="L332">
        <v>20690</v>
      </c>
      <c r="M332">
        <v>11449</v>
      </c>
      <c r="N332">
        <v>6680</v>
      </c>
      <c r="O332">
        <v>5442</v>
      </c>
      <c r="P332">
        <v>4529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1193202</v>
      </c>
    </row>
    <row r="333" spans="1:51" hidden="1" x14ac:dyDescent="0.2">
      <c r="A333" t="s">
        <v>20</v>
      </c>
      <c r="C333">
        <v>331</v>
      </c>
      <c r="D333">
        <v>7</v>
      </c>
      <c r="E333" t="s">
        <v>414</v>
      </c>
      <c r="F333">
        <v>2014</v>
      </c>
      <c r="H333">
        <v>577433</v>
      </c>
      <c r="I333">
        <v>485517</v>
      </c>
      <c r="J333">
        <v>34404</v>
      </c>
      <c r="K333">
        <v>27886</v>
      </c>
      <c r="L333">
        <v>21760</v>
      </c>
      <c r="M333">
        <v>13647</v>
      </c>
      <c r="N333">
        <v>10541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1171188</v>
      </c>
    </row>
    <row r="334" spans="1:51" hidden="1" x14ac:dyDescent="0.2">
      <c r="A334" t="s">
        <v>20</v>
      </c>
      <c r="C334">
        <v>332</v>
      </c>
      <c r="D334">
        <v>15</v>
      </c>
      <c r="E334" t="s">
        <v>415</v>
      </c>
      <c r="F334">
        <v>2014</v>
      </c>
      <c r="H334">
        <v>703236</v>
      </c>
      <c r="I334">
        <v>386379</v>
      </c>
      <c r="J334">
        <v>21593</v>
      </c>
      <c r="K334">
        <v>20034</v>
      </c>
      <c r="L334">
        <v>12675</v>
      </c>
      <c r="M334">
        <v>5939</v>
      </c>
      <c r="N334">
        <v>4971</v>
      </c>
      <c r="O334">
        <v>4467</v>
      </c>
      <c r="P334">
        <v>3263</v>
      </c>
      <c r="Q334">
        <v>3069</v>
      </c>
      <c r="R334">
        <v>1692</v>
      </c>
      <c r="S334">
        <v>1564</v>
      </c>
      <c r="T334">
        <v>1291</v>
      </c>
      <c r="U334">
        <v>1240</v>
      </c>
      <c r="V334">
        <v>1216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1172629</v>
      </c>
    </row>
    <row r="335" spans="1:51" hidden="1" x14ac:dyDescent="0.2">
      <c r="A335" t="s">
        <v>20</v>
      </c>
      <c r="C335">
        <v>333</v>
      </c>
      <c r="D335">
        <v>13</v>
      </c>
      <c r="E335" t="s">
        <v>416</v>
      </c>
      <c r="F335">
        <v>2014</v>
      </c>
      <c r="H335">
        <v>644794</v>
      </c>
      <c r="I335">
        <v>249089</v>
      </c>
      <c r="J335">
        <v>17182</v>
      </c>
      <c r="K335">
        <v>14579</v>
      </c>
      <c r="L335">
        <v>12479</v>
      </c>
      <c r="M335">
        <v>10407</v>
      </c>
      <c r="N335">
        <v>10160</v>
      </c>
      <c r="O335">
        <v>6418</v>
      </c>
      <c r="P335">
        <v>5186</v>
      </c>
      <c r="Q335">
        <v>4897</v>
      </c>
      <c r="R335">
        <v>2977</v>
      </c>
      <c r="S335">
        <v>2559</v>
      </c>
      <c r="T335">
        <v>1392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982119</v>
      </c>
    </row>
    <row r="336" spans="1:51" hidden="1" x14ac:dyDescent="0.2">
      <c r="A336" t="s">
        <v>20</v>
      </c>
      <c r="C336">
        <v>334</v>
      </c>
      <c r="D336">
        <v>12</v>
      </c>
      <c r="E336" t="s">
        <v>417</v>
      </c>
      <c r="F336">
        <v>2014</v>
      </c>
      <c r="H336">
        <v>630317</v>
      </c>
      <c r="I336">
        <v>384053</v>
      </c>
      <c r="J336">
        <v>19698</v>
      </c>
      <c r="K336">
        <v>15088</v>
      </c>
      <c r="L336">
        <v>11982</v>
      </c>
      <c r="M336">
        <v>10344</v>
      </c>
      <c r="N336">
        <v>7110</v>
      </c>
      <c r="O336">
        <v>6737</v>
      </c>
      <c r="P336">
        <v>5909</v>
      </c>
      <c r="Q336">
        <v>5684</v>
      </c>
      <c r="R336">
        <v>5374</v>
      </c>
      <c r="S336">
        <v>1794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1104090</v>
      </c>
    </row>
    <row r="337" spans="1:51" hidden="1" x14ac:dyDescent="0.2">
      <c r="A337" t="s">
        <v>20</v>
      </c>
      <c r="C337">
        <v>335</v>
      </c>
      <c r="D337">
        <v>13</v>
      </c>
      <c r="E337" t="s">
        <v>418</v>
      </c>
      <c r="F337">
        <v>2014</v>
      </c>
      <c r="H337">
        <v>644822</v>
      </c>
      <c r="I337">
        <v>444040</v>
      </c>
      <c r="J337">
        <v>16981</v>
      </c>
      <c r="K337">
        <v>12760</v>
      </c>
      <c r="L337">
        <v>10862</v>
      </c>
      <c r="M337">
        <v>7559</v>
      </c>
      <c r="N337">
        <v>5091</v>
      </c>
      <c r="O337">
        <v>4822</v>
      </c>
      <c r="P337">
        <v>2307</v>
      </c>
      <c r="Q337">
        <v>1825</v>
      </c>
      <c r="R337">
        <v>1713</v>
      </c>
      <c r="S337">
        <v>1168</v>
      </c>
      <c r="T337">
        <v>1010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1154960</v>
      </c>
    </row>
    <row r="338" spans="1:51" hidden="1" x14ac:dyDescent="0.2">
      <c r="A338" t="s">
        <v>20</v>
      </c>
      <c r="C338">
        <v>336</v>
      </c>
      <c r="D338">
        <v>7</v>
      </c>
      <c r="E338" t="s">
        <v>419</v>
      </c>
      <c r="F338">
        <v>2014</v>
      </c>
      <c r="H338">
        <v>676102</v>
      </c>
      <c r="I338">
        <v>394556</v>
      </c>
      <c r="J338">
        <v>23587</v>
      </c>
      <c r="K338">
        <v>19064</v>
      </c>
      <c r="L338">
        <v>13617</v>
      </c>
      <c r="M338">
        <v>11602</v>
      </c>
      <c r="N338">
        <v>7836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1146364</v>
      </c>
    </row>
    <row r="339" spans="1:51" hidden="1" x14ac:dyDescent="0.2">
      <c r="A339" t="s">
        <v>21</v>
      </c>
      <c r="C339">
        <v>337</v>
      </c>
      <c r="D339">
        <v>7</v>
      </c>
      <c r="E339" t="s">
        <v>21</v>
      </c>
      <c r="F339">
        <v>2014</v>
      </c>
      <c r="H339">
        <v>163698</v>
      </c>
      <c r="I339">
        <v>121956</v>
      </c>
      <c r="J339">
        <v>7279</v>
      </c>
      <c r="K339">
        <v>7189</v>
      </c>
      <c r="L339">
        <v>4332</v>
      </c>
      <c r="M339">
        <v>2541</v>
      </c>
      <c r="N339">
        <v>1972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308967</v>
      </c>
    </row>
    <row r="340" spans="1:51" hidden="1" x14ac:dyDescent="0.2">
      <c r="A340" t="s">
        <v>22</v>
      </c>
      <c r="C340">
        <v>338</v>
      </c>
      <c r="D340">
        <v>15</v>
      </c>
      <c r="E340" t="s">
        <v>420</v>
      </c>
      <c r="F340">
        <v>2014</v>
      </c>
      <c r="H340">
        <v>628499</v>
      </c>
      <c r="I340">
        <v>305069</v>
      </c>
      <c r="J340">
        <v>204734</v>
      </c>
      <c r="K340">
        <v>43960</v>
      </c>
      <c r="L340">
        <v>23598</v>
      </c>
      <c r="M340">
        <v>13794</v>
      </c>
      <c r="N340">
        <v>11137</v>
      </c>
      <c r="O340">
        <v>8260</v>
      </c>
      <c r="P340">
        <v>3085</v>
      </c>
      <c r="Q340">
        <v>2966</v>
      </c>
      <c r="R340">
        <v>2642</v>
      </c>
      <c r="S340">
        <v>2441</v>
      </c>
      <c r="T340">
        <v>1597</v>
      </c>
      <c r="U340">
        <v>1596</v>
      </c>
      <c r="V340">
        <v>1062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1254440</v>
      </c>
    </row>
    <row r="341" spans="1:51" hidden="1" x14ac:dyDescent="0.2">
      <c r="A341" t="s">
        <v>22</v>
      </c>
      <c r="C341">
        <v>339</v>
      </c>
      <c r="D341">
        <v>34</v>
      </c>
      <c r="E341" t="s">
        <v>421</v>
      </c>
      <c r="F341">
        <v>2014</v>
      </c>
      <c r="H341">
        <v>406704</v>
      </c>
      <c r="I341">
        <v>307000</v>
      </c>
      <c r="J341">
        <v>86989</v>
      </c>
      <c r="K341">
        <v>24190</v>
      </c>
      <c r="L341">
        <v>23751</v>
      </c>
      <c r="M341">
        <v>17472</v>
      </c>
      <c r="N341">
        <v>14585</v>
      </c>
      <c r="O341">
        <v>6819</v>
      </c>
      <c r="P341">
        <v>4960</v>
      </c>
      <c r="Q341">
        <v>1589</v>
      </c>
      <c r="R341">
        <v>1494</v>
      </c>
      <c r="S341">
        <v>1198</v>
      </c>
      <c r="T341">
        <v>1145</v>
      </c>
      <c r="U341">
        <v>964</v>
      </c>
      <c r="V341">
        <v>870</v>
      </c>
      <c r="W341">
        <v>777</v>
      </c>
      <c r="X341">
        <v>712</v>
      </c>
      <c r="Y341">
        <v>600</v>
      </c>
      <c r="Z341">
        <v>569</v>
      </c>
      <c r="AA341">
        <v>559</v>
      </c>
      <c r="AB341">
        <v>502</v>
      </c>
      <c r="AC341">
        <v>475</v>
      </c>
      <c r="AD341">
        <v>0</v>
      </c>
      <c r="AE341">
        <v>472</v>
      </c>
      <c r="AF341">
        <v>469</v>
      </c>
      <c r="AG341">
        <v>457</v>
      </c>
      <c r="AH341">
        <v>414</v>
      </c>
      <c r="AI341">
        <v>387</v>
      </c>
      <c r="AJ341">
        <v>386</v>
      </c>
      <c r="AK341">
        <v>343</v>
      </c>
      <c r="AL341">
        <v>337</v>
      </c>
      <c r="AM341">
        <v>311</v>
      </c>
      <c r="AN341">
        <v>302</v>
      </c>
      <c r="AO341">
        <v>297</v>
      </c>
      <c r="AP341">
        <v>257</v>
      </c>
      <c r="AQ341">
        <v>234</v>
      </c>
      <c r="AR341">
        <v>216</v>
      </c>
      <c r="AS341">
        <v>211</v>
      </c>
      <c r="AT341">
        <v>208</v>
      </c>
      <c r="AU341">
        <v>0</v>
      </c>
      <c r="AV341">
        <v>206</v>
      </c>
      <c r="AW341">
        <v>0</v>
      </c>
      <c r="AX341">
        <v>0</v>
      </c>
      <c r="AY341">
        <v>909431</v>
      </c>
    </row>
    <row r="342" spans="1:51" hidden="1" x14ac:dyDescent="0.2">
      <c r="A342" t="s">
        <v>22</v>
      </c>
      <c r="C342">
        <v>340</v>
      </c>
      <c r="D342">
        <v>35</v>
      </c>
      <c r="E342" t="s">
        <v>422</v>
      </c>
      <c r="F342">
        <v>2014</v>
      </c>
      <c r="H342">
        <v>434540</v>
      </c>
      <c r="I342">
        <v>298965</v>
      </c>
      <c r="J342">
        <v>258262</v>
      </c>
      <c r="K342">
        <v>24276</v>
      </c>
      <c r="L342">
        <v>20229</v>
      </c>
      <c r="M342">
        <v>17208</v>
      </c>
      <c r="N342">
        <v>1708</v>
      </c>
      <c r="O342">
        <v>1647</v>
      </c>
      <c r="P342">
        <v>1529</v>
      </c>
      <c r="Q342">
        <v>1289</v>
      </c>
      <c r="R342">
        <v>1180</v>
      </c>
      <c r="S342">
        <v>976</v>
      </c>
      <c r="T342">
        <v>865</v>
      </c>
      <c r="U342">
        <v>636</v>
      </c>
      <c r="V342">
        <v>533</v>
      </c>
      <c r="W342">
        <v>518</v>
      </c>
      <c r="X342">
        <v>511</v>
      </c>
      <c r="Y342">
        <v>498</v>
      </c>
      <c r="Z342">
        <v>427</v>
      </c>
      <c r="AA342">
        <v>416</v>
      </c>
      <c r="AB342">
        <v>373</v>
      </c>
      <c r="AC342">
        <v>372</v>
      </c>
      <c r="AD342">
        <v>328</v>
      </c>
      <c r="AE342">
        <v>274</v>
      </c>
      <c r="AF342">
        <v>271</v>
      </c>
      <c r="AG342">
        <v>267</v>
      </c>
      <c r="AH342">
        <v>259</v>
      </c>
      <c r="AI342">
        <v>257</v>
      </c>
      <c r="AJ342">
        <v>253</v>
      </c>
      <c r="AK342">
        <v>244</v>
      </c>
      <c r="AL342">
        <v>233</v>
      </c>
      <c r="AM342">
        <v>232</v>
      </c>
      <c r="AN342">
        <v>221</v>
      </c>
      <c r="AO342">
        <v>215</v>
      </c>
      <c r="AP342">
        <v>203</v>
      </c>
      <c r="AQ342">
        <v>192</v>
      </c>
      <c r="AR342">
        <v>188</v>
      </c>
      <c r="AS342">
        <v>174</v>
      </c>
      <c r="AT342">
        <v>157</v>
      </c>
      <c r="AU342">
        <v>140</v>
      </c>
      <c r="AV342">
        <v>121</v>
      </c>
      <c r="AW342">
        <v>117</v>
      </c>
      <c r="AX342">
        <v>105</v>
      </c>
      <c r="AY342">
        <v>1071409</v>
      </c>
    </row>
    <row r="343" spans="1:51" hidden="1" x14ac:dyDescent="0.2">
      <c r="A343" t="s">
        <v>22</v>
      </c>
      <c r="C343">
        <v>341</v>
      </c>
      <c r="D343">
        <v>20</v>
      </c>
      <c r="E343" t="s">
        <v>423</v>
      </c>
      <c r="F343">
        <v>2014</v>
      </c>
      <c r="H343">
        <v>333296</v>
      </c>
      <c r="I343">
        <v>287455</v>
      </c>
      <c r="J343">
        <v>114798</v>
      </c>
      <c r="K343">
        <v>25981</v>
      </c>
      <c r="L343">
        <v>21959</v>
      </c>
      <c r="M343">
        <v>19553</v>
      </c>
      <c r="N343">
        <v>2531</v>
      </c>
      <c r="O343">
        <v>2019</v>
      </c>
      <c r="P343">
        <v>1528</v>
      </c>
      <c r="Q343">
        <v>973</v>
      </c>
      <c r="R343">
        <v>805</v>
      </c>
      <c r="S343">
        <v>697</v>
      </c>
      <c r="T343">
        <v>579</v>
      </c>
      <c r="U343">
        <v>391</v>
      </c>
      <c r="V343">
        <v>390</v>
      </c>
      <c r="W343">
        <v>0</v>
      </c>
      <c r="X343">
        <v>369</v>
      </c>
      <c r="Y343">
        <v>336</v>
      </c>
      <c r="Z343">
        <v>324</v>
      </c>
      <c r="AA343">
        <v>261</v>
      </c>
      <c r="AB343">
        <v>259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814504</v>
      </c>
    </row>
    <row r="344" spans="1:51" hidden="1" x14ac:dyDescent="0.2">
      <c r="A344" t="s">
        <v>22</v>
      </c>
      <c r="C344">
        <v>342</v>
      </c>
      <c r="D344">
        <v>22</v>
      </c>
      <c r="E344" t="s">
        <v>424</v>
      </c>
      <c r="F344">
        <v>2014</v>
      </c>
      <c r="H344">
        <v>545820</v>
      </c>
      <c r="I344">
        <v>443174</v>
      </c>
      <c r="J344">
        <v>187094</v>
      </c>
      <c r="K344">
        <v>39015</v>
      </c>
      <c r="L344">
        <v>27676</v>
      </c>
      <c r="M344">
        <v>18963</v>
      </c>
      <c r="N344">
        <v>4977</v>
      </c>
      <c r="O344">
        <v>4743</v>
      </c>
      <c r="P344">
        <v>2782</v>
      </c>
      <c r="Q344">
        <v>2622</v>
      </c>
      <c r="R344">
        <v>1726</v>
      </c>
      <c r="S344">
        <v>1301</v>
      </c>
      <c r="T344">
        <v>1165</v>
      </c>
      <c r="U344">
        <v>870</v>
      </c>
      <c r="V344">
        <v>811</v>
      </c>
      <c r="W344">
        <v>791</v>
      </c>
      <c r="X344">
        <v>781</v>
      </c>
      <c r="Y344">
        <v>699</v>
      </c>
      <c r="Z344">
        <v>497</v>
      </c>
      <c r="AA344">
        <v>477</v>
      </c>
      <c r="AB344">
        <v>372</v>
      </c>
      <c r="AC344">
        <v>291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1286647</v>
      </c>
    </row>
    <row r="345" spans="1:51" hidden="1" x14ac:dyDescent="0.2">
      <c r="A345" t="s">
        <v>22</v>
      </c>
      <c r="C345">
        <v>343</v>
      </c>
      <c r="D345">
        <v>12</v>
      </c>
      <c r="E345" t="s">
        <v>425</v>
      </c>
      <c r="F345">
        <v>2014</v>
      </c>
      <c r="H345">
        <v>499395</v>
      </c>
      <c r="I345">
        <v>352529</v>
      </c>
      <c r="J345">
        <v>207080</v>
      </c>
      <c r="K345">
        <v>33313</v>
      </c>
      <c r="L345">
        <v>17736</v>
      </c>
      <c r="M345">
        <v>6807</v>
      </c>
      <c r="N345">
        <v>3618</v>
      </c>
      <c r="O345">
        <v>2895</v>
      </c>
      <c r="P345">
        <v>1479</v>
      </c>
      <c r="Q345">
        <v>1368</v>
      </c>
      <c r="R345">
        <v>1090</v>
      </c>
      <c r="S345">
        <v>1089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1128399</v>
      </c>
    </row>
    <row r="346" spans="1:51" hidden="1" x14ac:dyDescent="0.2">
      <c r="A346" t="s">
        <v>22</v>
      </c>
      <c r="C346">
        <v>344</v>
      </c>
      <c r="D346">
        <v>28</v>
      </c>
      <c r="E346" t="s">
        <v>426</v>
      </c>
      <c r="F346">
        <v>2014</v>
      </c>
      <c r="H346">
        <v>493534</v>
      </c>
      <c r="I346">
        <v>252768</v>
      </c>
      <c r="J346">
        <v>233762</v>
      </c>
      <c r="K346">
        <v>56337</v>
      </c>
      <c r="L346">
        <v>10370</v>
      </c>
      <c r="M346">
        <v>7354</v>
      </c>
      <c r="N346">
        <v>6570</v>
      </c>
      <c r="O346">
        <v>6025</v>
      </c>
      <c r="P346">
        <v>4021</v>
      </c>
      <c r="Q346">
        <v>2198</v>
      </c>
      <c r="R346">
        <v>1955</v>
      </c>
      <c r="S346">
        <v>1556</v>
      </c>
      <c r="T346">
        <v>1458</v>
      </c>
      <c r="U346">
        <v>1434</v>
      </c>
      <c r="V346">
        <v>1023</v>
      </c>
      <c r="W346">
        <v>920</v>
      </c>
      <c r="X346">
        <v>918</v>
      </c>
      <c r="Y346">
        <v>804</v>
      </c>
      <c r="Z346">
        <v>783</v>
      </c>
      <c r="AA346">
        <v>747</v>
      </c>
      <c r="AB346">
        <v>723</v>
      </c>
      <c r="AC346">
        <v>610</v>
      </c>
      <c r="AD346">
        <v>599</v>
      </c>
      <c r="AE346">
        <v>570</v>
      </c>
      <c r="AF346">
        <v>541</v>
      </c>
      <c r="AG346">
        <v>517</v>
      </c>
      <c r="AH346">
        <v>484</v>
      </c>
      <c r="AI346">
        <v>471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1089052</v>
      </c>
    </row>
    <row r="347" spans="1:51" hidden="1" x14ac:dyDescent="0.2">
      <c r="A347" t="s">
        <v>22</v>
      </c>
      <c r="C347">
        <v>345</v>
      </c>
      <c r="D347">
        <v>24</v>
      </c>
      <c r="E347" t="s">
        <v>427</v>
      </c>
      <c r="F347">
        <v>2014</v>
      </c>
      <c r="H347">
        <v>383719</v>
      </c>
      <c r="I347">
        <v>324326</v>
      </c>
      <c r="J347">
        <v>205896</v>
      </c>
      <c r="K347">
        <v>21650</v>
      </c>
      <c r="L347">
        <v>7100</v>
      </c>
      <c r="M347">
        <v>6056</v>
      </c>
      <c r="N347">
        <v>4169</v>
      </c>
      <c r="O347">
        <v>3742</v>
      </c>
      <c r="P347">
        <v>3603</v>
      </c>
      <c r="Q347">
        <v>2791</v>
      </c>
      <c r="R347">
        <v>1708</v>
      </c>
      <c r="S347">
        <v>1293</v>
      </c>
      <c r="T347">
        <v>1052</v>
      </c>
      <c r="U347">
        <v>991</v>
      </c>
      <c r="V347">
        <v>828</v>
      </c>
      <c r="W347">
        <v>790</v>
      </c>
      <c r="X347">
        <v>764</v>
      </c>
      <c r="Y347">
        <v>745</v>
      </c>
      <c r="Z347">
        <v>581</v>
      </c>
      <c r="AA347">
        <v>561</v>
      </c>
      <c r="AB347">
        <v>558</v>
      </c>
      <c r="AC347">
        <v>496</v>
      </c>
      <c r="AD347">
        <v>491</v>
      </c>
      <c r="AE347">
        <v>430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974340</v>
      </c>
    </row>
    <row r="348" spans="1:51" hidden="1" x14ac:dyDescent="0.2">
      <c r="A348" t="s">
        <v>22</v>
      </c>
      <c r="C348">
        <v>346</v>
      </c>
      <c r="D348">
        <v>16</v>
      </c>
      <c r="E348" t="s">
        <v>428</v>
      </c>
      <c r="F348">
        <v>2014</v>
      </c>
      <c r="H348">
        <v>480491</v>
      </c>
      <c r="I348">
        <v>273900</v>
      </c>
      <c r="J348">
        <v>224963</v>
      </c>
      <c r="K348">
        <v>38885</v>
      </c>
      <c r="L348">
        <v>16020</v>
      </c>
      <c r="M348">
        <v>8618</v>
      </c>
      <c r="N348">
        <v>3875</v>
      </c>
      <c r="O348">
        <v>3665</v>
      </c>
      <c r="P348">
        <v>3033</v>
      </c>
      <c r="Q348">
        <v>2737</v>
      </c>
      <c r="R348">
        <v>2530</v>
      </c>
      <c r="S348">
        <v>2261</v>
      </c>
      <c r="T348">
        <v>2135</v>
      </c>
      <c r="U348">
        <v>2015</v>
      </c>
      <c r="V348">
        <v>1744</v>
      </c>
      <c r="W348">
        <v>1519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1068391</v>
      </c>
    </row>
    <row r="349" spans="1:51" hidden="1" x14ac:dyDescent="0.2">
      <c r="A349" t="s">
        <v>22</v>
      </c>
      <c r="C349">
        <v>347</v>
      </c>
      <c r="D349">
        <v>16</v>
      </c>
      <c r="E349" t="s">
        <v>429</v>
      </c>
      <c r="F349">
        <v>2014</v>
      </c>
      <c r="H349">
        <v>468194</v>
      </c>
      <c r="I349">
        <v>391048</v>
      </c>
      <c r="J349">
        <v>180297</v>
      </c>
      <c r="K349">
        <v>15455</v>
      </c>
      <c r="L349">
        <v>12693</v>
      </c>
      <c r="M349">
        <v>8180</v>
      </c>
      <c r="N349">
        <v>4934</v>
      </c>
      <c r="O349">
        <v>3905</v>
      </c>
      <c r="P349">
        <v>3164</v>
      </c>
      <c r="Q349">
        <v>2802</v>
      </c>
      <c r="R349">
        <v>2413</v>
      </c>
      <c r="S349">
        <v>2199</v>
      </c>
      <c r="T349">
        <v>1978</v>
      </c>
      <c r="U349">
        <v>1403</v>
      </c>
      <c r="V349">
        <v>1370</v>
      </c>
      <c r="W349">
        <v>1310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1101345</v>
      </c>
    </row>
    <row r="350" spans="1:51" hidden="1" x14ac:dyDescent="0.2">
      <c r="A350" t="s">
        <v>22</v>
      </c>
      <c r="C350">
        <v>348</v>
      </c>
      <c r="D350">
        <v>25</v>
      </c>
      <c r="E350" t="s">
        <v>430</v>
      </c>
      <c r="F350">
        <v>2014</v>
      </c>
      <c r="H350">
        <v>500751</v>
      </c>
      <c r="I350">
        <v>332145</v>
      </c>
      <c r="J350">
        <v>157954</v>
      </c>
      <c r="K350">
        <v>17854</v>
      </c>
      <c r="L350">
        <v>10708</v>
      </c>
      <c r="M350">
        <v>9595</v>
      </c>
      <c r="N350">
        <v>6278</v>
      </c>
      <c r="O350">
        <v>4688</v>
      </c>
      <c r="P350">
        <v>4328</v>
      </c>
      <c r="Q350">
        <v>3867</v>
      </c>
      <c r="R350">
        <v>2445</v>
      </c>
      <c r="S350">
        <v>1999</v>
      </c>
      <c r="T350">
        <v>1729</v>
      </c>
      <c r="U350">
        <v>1693</v>
      </c>
      <c r="V350">
        <v>1686</v>
      </c>
      <c r="W350">
        <v>1555</v>
      </c>
      <c r="X350">
        <v>1369</v>
      </c>
      <c r="Y350">
        <v>991</v>
      </c>
      <c r="Z350">
        <v>973</v>
      </c>
      <c r="AA350">
        <v>931</v>
      </c>
      <c r="AB350">
        <v>904</v>
      </c>
      <c r="AC350">
        <v>865</v>
      </c>
      <c r="AD350">
        <v>736</v>
      </c>
      <c r="AE350">
        <v>724</v>
      </c>
      <c r="AF350">
        <v>679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1067447</v>
      </c>
    </row>
    <row r="351" spans="1:51" hidden="1" x14ac:dyDescent="0.2">
      <c r="A351" t="s">
        <v>22</v>
      </c>
      <c r="C351">
        <v>349</v>
      </c>
      <c r="D351">
        <v>20</v>
      </c>
      <c r="E351" t="s">
        <v>431</v>
      </c>
      <c r="F351">
        <v>2014</v>
      </c>
      <c r="H351">
        <v>502721</v>
      </c>
      <c r="I351">
        <v>258877</v>
      </c>
      <c r="J351">
        <v>253332</v>
      </c>
      <c r="K351">
        <v>27717</v>
      </c>
      <c r="L351">
        <v>10263</v>
      </c>
      <c r="M351">
        <v>9304</v>
      </c>
      <c r="N351">
        <v>8059</v>
      </c>
      <c r="O351">
        <v>5573</v>
      </c>
      <c r="P351">
        <v>4331</v>
      </c>
      <c r="Q351">
        <v>2598</v>
      </c>
      <c r="R351">
        <v>2372</v>
      </c>
      <c r="S351">
        <v>1952</v>
      </c>
      <c r="T351">
        <v>1760</v>
      </c>
      <c r="U351">
        <v>1746</v>
      </c>
      <c r="V351">
        <v>1309</v>
      </c>
      <c r="W351">
        <v>1243</v>
      </c>
      <c r="X351">
        <v>910</v>
      </c>
      <c r="Y351">
        <v>798</v>
      </c>
      <c r="Z351">
        <v>668</v>
      </c>
      <c r="AA351">
        <v>513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1096046</v>
      </c>
    </row>
    <row r="352" spans="1:51" hidden="1" x14ac:dyDescent="0.2">
      <c r="A352" t="s">
        <v>22</v>
      </c>
      <c r="C352">
        <v>350</v>
      </c>
      <c r="D352">
        <v>21</v>
      </c>
      <c r="E352" t="s">
        <v>432</v>
      </c>
      <c r="F352">
        <v>2014</v>
      </c>
      <c r="H352">
        <v>482704</v>
      </c>
      <c r="I352">
        <v>289337</v>
      </c>
      <c r="J352">
        <v>209663</v>
      </c>
      <c r="K352">
        <v>21461</v>
      </c>
      <c r="L352">
        <v>17408</v>
      </c>
      <c r="M352">
        <v>11440</v>
      </c>
      <c r="N352">
        <v>4780</v>
      </c>
      <c r="O352">
        <v>3906</v>
      </c>
      <c r="P352">
        <v>3443</v>
      </c>
      <c r="Q352">
        <v>3430</v>
      </c>
      <c r="R352">
        <v>2798</v>
      </c>
      <c r="S352">
        <v>2683</v>
      </c>
      <c r="T352">
        <v>2663</v>
      </c>
      <c r="U352">
        <v>2337</v>
      </c>
      <c r="V352">
        <v>2294</v>
      </c>
      <c r="W352">
        <v>1774</v>
      </c>
      <c r="X352">
        <v>1607</v>
      </c>
      <c r="Y352">
        <v>1212</v>
      </c>
      <c r="Z352">
        <v>1197</v>
      </c>
      <c r="AA352">
        <v>811</v>
      </c>
      <c r="AB352">
        <v>693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1067641</v>
      </c>
    </row>
    <row r="353" spans="1:51" hidden="1" x14ac:dyDescent="0.2">
      <c r="A353" t="s">
        <v>22</v>
      </c>
      <c r="C353">
        <v>351</v>
      </c>
      <c r="D353">
        <v>23</v>
      </c>
      <c r="E353" t="s">
        <v>433</v>
      </c>
      <c r="F353">
        <v>2014</v>
      </c>
      <c r="H353">
        <v>533383</v>
      </c>
      <c r="I353">
        <v>309876</v>
      </c>
      <c r="J353">
        <v>164183</v>
      </c>
      <c r="K353">
        <v>39677</v>
      </c>
      <c r="L353">
        <v>10901</v>
      </c>
      <c r="M353">
        <v>7314</v>
      </c>
      <c r="N353">
        <v>6186</v>
      </c>
      <c r="O353">
        <v>5929</v>
      </c>
      <c r="P353">
        <v>5054</v>
      </c>
      <c r="Q353">
        <v>3512</v>
      </c>
      <c r="R353">
        <v>3261</v>
      </c>
      <c r="S353">
        <v>2910</v>
      </c>
      <c r="T353">
        <v>2255</v>
      </c>
      <c r="U353">
        <v>2029</v>
      </c>
      <c r="V353">
        <v>1684</v>
      </c>
      <c r="W353">
        <v>1499</v>
      </c>
      <c r="X353">
        <v>1334</v>
      </c>
      <c r="Y353">
        <v>1221</v>
      </c>
      <c r="Z353">
        <v>1097</v>
      </c>
      <c r="AA353">
        <v>1015</v>
      </c>
      <c r="AB353">
        <v>1013</v>
      </c>
      <c r="AC353">
        <v>962</v>
      </c>
      <c r="AD353">
        <v>946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1107241</v>
      </c>
    </row>
    <row r="354" spans="1:51" hidden="1" x14ac:dyDescent="0.2">
      <c r="A354" t="s">
        <v>22</v>
      </c>
      <c r="C354">
        <v>352</v>
      </c>
      <c r="D354">
        <v>26</v>
      </c>
      <c r="E354" t="s">
        <v>434</v>
      </c>
      <c r="F354">
        <v>2014</v>
      </c>
      <c r="H354">
        <v>556546</v>
      </c>
      <c r="I354">
        <v>288936</v>
      </c>
      <c r="J354">
        <v>201265</v>
      </c>
      <c r="K354">
        <v>46477</v>
      </c>
      <c r="L354">
        <v>20601</v>
      </c>
      <c r="M354">
        <v>5374</v>
      </c>
      <c r="N354">
        <v>5198</v>
      </c>
      <c r="O354">
        <v>3261</v>
      </c>
      <c r="P354">
        <v>2903</v>
      </c>
      <c r="Q354">
        <v>2581</v>
      </c>
      <c r="R354">
        <v>2550</v>
      </c>
      <c r="S354">
        <v>2203</v>
      </c>
      <c r="T354">
        <v>1701</v>
      </c>
      <c r="U354">
        <v>1623</v>
      </c>
      <c r="V354">
        <v>1619</v>
      </c>
      <c r="W354">
        <v>1232</v>
      </c>
      <c r="X354">
        <v>1151</v>
      </c>
      <c r="Y354">
        <v>777</v>
      </c>
      <c r="Z354">
        <v>731</v>
      </c>
      <c r="AA354">
        <v>623</v>
      </c>
      <c r="AB354">
        <v>574</v>
      </c>
      <c r="AC354">
        <v>529</v>
      </c>
      <c r="AD354">
        <v>526</v>
      </c>
      <c r="AE354">
        <v>484</v>
      </c>
      <c r="AF354">
        <v>474</v>
      </c>
      <c r="AG354">
        <v>357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1150296</v>
      </c>
    </row>
    <row r="355" spans="1:51" hidden="1" x14ac:dyDescent="0.2">
      <c r="A355" t="s">
        <v>22</v>
      </c>
      <c r="C355">
        <v>353</v>
      </c>
      <c r="D355">
        <v>27</v>
      </c>
      <c r="E355" t="s">
        <v>435</v>
      </c>
      <c r="F355">
        <v>2014</v>
      </c>
      <c r="H355">
        <v>563272</v>
      </c>
      <c r="I355">
        <v>268898</v>
      </c>
      <c r="J355">
        <v>146882</v>
      </c>
      <c r="K355">
        <v>19800</v>
      </c>
      <c r="L355">
        <v>16002</v>
      </c>
      <c r="M355">
        <v>4827</v>
      </c>
      <c r="N355">
        <v>4808</v>
      </c>
      <c r="O355">
        <v>4348</v>
      </c>
      <c r="P355">
        <v>3920</v>
      </c>
      <c r="Q355">
        <v>3362</v>
      </c>
      <c r="R355">
        <v>3070</v>
      </c>
      <c r="S355">
        <v>2487</v>
      </c>
      <c r="T355">
        <v>2079</v>
      </c>
      <c r="U355">
        <v>1874</v>
      </c>
      <c r="V355">
        <v>1788</v>
      </c>
      <c r="W355">
        <v>1711</v>
      </c>
      <c r="X355">
        <v>1600</v>
      </c>
      <c r="Y355">
        <v>1182</v>
      </c>
      <c r="Z355">
        <v>915</v>
      </c>
      <c r="AA355">
        <v>858</v>
      </c>
      <c r="AB355">
        <v>835</v>
      </c>
      <c r="AC355">
        <v>823</v>
      </c>
      <c r="AD355">
        <v>787</v>
      </c>
      <c r="AE355">
        <v>737</v>
      </c>
      <c r="AF355">
        <v>717</v>
      </c>
      <c r="AG355">
        <v>700</v>
      </c>
      <c r="AH355">
        <v>473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1058755</v>
      </c>
    </row>
    <row r="356" spans="1:51" hidden="1" x14ac:dyDescent="0.2">
      <c r="A356" t="s">
        <v>22</v>
      </c>
      <c r="C356">
        <v>354</v>
      </c>
      <c r="D356">
        <v>15</v>
      </c>
      <c r="E356" t="s">
        <v>436</v>
      </c>
      <c r="F356">
        <v>2014</v>
      </c>
      <c r="H356">
        <v>466995</v>
      </c>
      <c r="I356">
        <v>255432</v>
      </c>
      <c r="J356">
        <v>217260</v>
      </c>
      <c r="K356">
        <v>26726</v>
      </c>
      <c r="L356">
        <v>16268</v>
      </c>
      <c r="M356">
        <v>7478</v>
      </c>
      <c r="N356">
        <v>5917</v>
      </c>
      <c r="O356">
        <v>4654</v>
      </c>
      <c r="P356">
        <v>1969</v>
      </c>
      <c r="Q356">
        <v>1592</v>
      </c>
      <c r="R356">
        <v>1298</v>
      </c>
      <c r="S356">
        <v>1046</v>
      </c>
      <c r="T356">
        <v>818</v>
      </c>
      <c r="U356">
        <v>610</v>
      </c>
      <c r="V356">
        <v>519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1008582</v>
      </c>
    </row>
    <row r="357" spans="1:51" hidden="1" x14ac:dyDescent="0.2">
      <c r="A357" t="s">
        <v>22</v>
      </c>
      <c r="C357">
        <v>355</v>
      </c>
      <c r="D357">
        <v>26</v>
      </c>
      <c r="E357" t="s">
        <v>437</v>
      </c>
      <c r="F357">
        <v>2014</v>
      </c>
      <c r="H357">
        <v>442778</v>
      </c>
      <c r="I357">
        <v>263463</v>
      </c>
      <c r="J357">
        <v>205411</v>
      </c>
      <c r="K357">
        <v>47554</v>
      </c>
      <c r="L357">
        <v>33331</v>
      </c>
      <c r="M357">
        <v>13941</v>
      </c>
      <c r="N357">
        <v>6422</v>
      </c>
      <c r="O357">
        <v>4665</v>
      </c>
      <c r="P357">
        <v>4264</v>
      </c>
      <c r="Q357">
        <v>4074</v>
      </c>
      <c r="R357">
        <v>3087</v>
      </c>
      <c r="S357">
        <v>2167</v>
      </c>
      <c r="T357">
        <v>2010</v>
      </c>
      <c r="U357">
        <v>1991</v>
      </c>
      <c r="V357">
        <v>1926</v>
      </c>
      <c r="W357">
        <v>1820</v>
      </c>
      <c r="X357">
        <v>1193</v>
      </c>
      <c r="Y357">
        <v>0</v>
      </c>
      <c r="Z357">
        <v>1153</v>
      </c>
      <c r="AA357">
        <v>1151</v>
      </c>
      <c r="AB357">
        <v>1097</v>
      </c>
      <c r="AC357">
        <v>1038</v>
      </c>
      <c r="AD357">
        <v>949</v>
      </c>
      <c r="AE357">
        <v>916</v>
      </c>
      <c r="AF357">
        <v>908</v>
      </c>
      <c r="AG357">
        <v>900</v>
      </c>
      <c r="AH357">
        <v>788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1048997</v>
      </c>
    </row>
    <row r="358" spans="1:51" hidden="1" x14ac:dyDescent="0.2">
      <c r="A358" t="s">
        <v>22</v>
      </c>
      <c r="C358">
        <v>356</v>
      </c>
      <c r="D358">
        <v>11</v>
      </c>
      <c r="E358" t="s">
        <v>438</v>
      </c>
      <c r="F358">
        <v>2014</v>
      </c>
      <c r="H358">
        <v>463700</v>
      </c>
      <c r="I358">
        <v>358760</v>
      </c>
      <c r="J358">
        <v>46559</v>
      </c>
      <c r="K358">
        <v>37702</v>
      </c>
      <c r="L358">
        <v>12525</v>
      </c>
      <c r="M358">
        <v>3377</v>
      </c>
      <c r="N358">
        <v>2733</v>
      </c>
      <c r="O358">
        <v>2704</v>
      </c>
      <c r="P358">
        <v>1711</v>
      </c>
      <c r="Q358">
        <v>1655</v>
      </c>
      <c r="R358">
        <v>1650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933076</v>
      </c>
    </row>
    <row r="359" spans="1:51" hidden="1" x14ac:dyDescent="0.2">
      <c r="A359" t="s">
        <v>22</v>
      </c>
      <c r="C359">
        <v>357</v>
      </c>
      <c r="D359">
        <v>26</v>
      </c>
      <c r="E359" t="s">
        <v>439</v>
      </c>
      <c r="F359">
        <v>2014</v>
      </c>
      <c r="H359">
        <v>431717</v>
      </c>
      <c r="I359">
        <v>389701</v>
      </c>
      <c r="J359">
        <v>217083</v>
      </c>
      <c r="K359">
        <v>56962</v>
      </c>
      <c r="L359">
        <v>34197</v>
      </c>
      <c r="M359">
        <v>17428</v>
      </c>
      <c r="N359">
        <v>6680</v>
      </c>
      <c r="O359">
        <v>2329</v>
      </c>
      <c r="P359">
        <v>2122</v>
      </c>
      <c r="Q359">
        <v>1959</v>
      </c>
      <c r="R359">
        <v>1756</v>
      </c>
      <c r="S359">
        <v>1699</v>
      </c>
      <c r="T359">
        <v>1672</v>
      </c>
      <c r="U359">
        <v>1360</v>
      </c>
      <c r="V359">
        <v>1306</v>
      </c>
      <c r="W359">
        <v>1232</v>
      </c>
      <c r="X359">
        <v>1100</v>
      </c>
      <c r="Y359">
        <v>1051</v>
      </c>
      <c r="Z359">
        <v>858</v>
      </c>
      <c r="AA359">
        <v>799</v>
      </c>
      <c r="AB359">
        <v>766</v>
      </c>
      <c r="AC359">
        <v>640</v>
      </c>
      <c r="AD359">
        <v>607</v>
      </c>
      <c r="AE359">
        <v>596</v>
      </c>
      <c r="AF359">
        <v>550</v>
      </c>
      <c r="AG359">
        <v>450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1176620</v>
      </c>
    </row>
    <row r="360" spans="1:51" hidden="1" x14ac:dyDescent="0.2">
      <c r="A360" t="s">
        <v>22</v>
      </c>
      <c r="C360">
        <v>358</v>
      </c>
      <c r="D360">
        <v>19</v>
      </c>
      <c r="E360" t="s">
        <v>440</v>
      </c>
      <c r="F360">
        <v>2014</v>
      </c>
      <c r="H360">
        <v>417092</v>
      </c>
      <c r="I360">
        <v>276118</v>
      </c>
      <c r="J360">
        <v>251829</v>
      </c>
      <c r="K360">
        <v>30014</v>
      </c>
      <c r="L360">
        <v>12947</v>
      </c>
      <c r="M360">
        <v>4942</v>
      </c>
      <c r="N360">
        <v>3953</v>
      </c>
      <c r="O360">
        <v>2472</v>
      </c>
      <c r="P360">
        <v>2192</v>
      </c>
      <c r="Q360">
        <v>2071</v>
      </c>
      <c r="R360">
        <v>1599</v>
      </c>
      <c r="S360">
        <v>1523</v>
      </c>
      <c r="T360">
        <v>1171</v>
      </c>
      <c r="U360">
        <v>1004</v>
      </c>
      <c r="V360">
        <v>895</v>
      </c>
      <c r="W360">
        <v>891</v>
      </c>
      <c r="X360">
        <v>834</v>
      </c>
      <c r="Y360">
        <v>626</v>
      </c>
      <c r="Z360">
        <v>494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1012667</v>
      </c>
    </row>
    <row r="361" spans="1:51" hidden="1" x14ac:dyDescent="0.2">
      <c r="A361" t="s">
        <v>22</v>
      </c>
      <c r="C361">
        <v>359</v>
      </c>
      <c r="D361">
        <v>19</v>
      </c>
      <c r="E361" t="s">
        <v>441</v>
      </c>
      <c r="F361">
        <v>2014</v>
      </c>
      <c r="H361">
        <v>510462</v>
      </c>
      <c r="I361">
        <v>382617</v>
      </c>
      <c r="J361">
        <v>93794</v>
      </c>
      <c r="K361">
        <v>35632</v>
      </c>
      <c r="L361">
        <v>19455</v>
      </c>
      <c r="M361">
        <v>10591</v>
      </c>
      <c r="N361">
        <v>7580</v>
      </c>
      <c r="O361">
        <v>5859</v>
      </c>
      <c r="P361">
        <v>3588</v>
      </c>
      <c r="Q361">
        <v>3395</v>
      </c>
      <c r="R361">
        <v>2604</v>
      </c>
      <c r="S361">
        <v>1903</v>
      </c>
      <c r="T361">
        <v>1261</v>
      </c>
      <c r="U361">
        <v>1202</v>
      </c>
      <c r="V361">
        <v>863</v>
      </c>
      <c r="W361">
        <v>786</v>
      </c>
      <c r="X361">
        <v>627</v>
      </c>
      <c r="Y361">
        <v>592</v>
      </c>
      <c r="Z361">
        <v>553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1083364</v>
      </c>
    </row>
    <row r="362" spans="1:51" hidden="1" x14ac:dyDescent="0.2">
      <c r="A362" t="s">
        <v>22</v>
      </c>
      <c r="C362">
        <v>360</v>
      </c>
      <c r="D362">
        <v>26</v>
      </c>
      <c r="E362" t="s">
        <v>442</v>
      </c>
      <c r="F362">
        <v>2014</v>
      </c>
      <c r="H362">
        <v>540722</v>
      </c>
      <c r="I362">
        <v>345475</v>
      </c>
      <c r="J362">
        <v>76560</v>
      </c>
      <c r="K362">
        <v>30459</v>
      </c>
      <c r="L362">
        <v>13763</v>
      </c>
      <c r="M362">
        <v>5694</v>
      </c>
      <c r="N362">
        <v>4486</v>
      </c>
      <c r="O362">
        <v>4280</v>
      </c>
      <c r="P362">
        <v>3719</v>
      </c>
      <c r="Q362">
        <v>3552</v>
      </c>
      <c r="R362">
        <v>2440</v>
      </c>
      <c r="S362">
        <v>2108</v>
      </c>
      <c r="T362">
        <v>1436</v>
      </c>
      <c r="U362">
        <v>1433</v>
      </c>
      <c r="V362">
        <v>1387</v>
      </c>
      <c r="W362">
        <v>1276</v>
      </c>
      <c r="X362">
        <v>1024</v>
      </c>
      <c r="Y362">
        <v>981</v>
      </c>
      <c r="Z362">
        <v>848</v>
      </c>
      <c r="AA362">
        <v>847</v>
      </c>
      <c r="AB362">
        <v>831</v>
      </c>
      <c r="AC362">
        <v>813</v>
      </c>
      <c r="AD362">
        <v>732</v>
      </c>
      <c r="AE362">
        <v>668</v>
      </c>
      <c r="AF362">
        <v>563</v>
      </c>
      <c r="AG362">
        <v>437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1046534</v>
      </c>
    </row>
    <row r="363" spans="1:51" hidden="1" x14ac:dyDescent="0.2">
      <c r="A363" t="s">
        <v>22</v>
      </c>
      <c r="C363">
        <v>361</v>
      </c>
      <c r="D363">
        <v>30</v>
      </c>
      <c r="E363" t="s">
        <v>443</v>
      </c>
      <c r="F363">
        <v>2014</v>
      </c>
      <c r="H363">
        <v>458478</v>
      </c>
      <c r="I363">
        <v>308002</v>
      </c>
      <c r="J363">
        <v>94785</v>
      </c>
      <c r="K363">
        <v>51537</v>
      </c>
      <c r="L363">
        <v>22848</v>
      </c>
      <c r="M363">
        <v>17039</v>
      </c>
      <c r="N363">
        <v>4885</v>
      </c>
      <c r="O363">
        <v>4077</v>
      </c>
      <c r="P363">
        <v>3239</v>
      </c>
      <c r="Q363">
        <v>3083</v>
      </c>
      <c r="R363">
        <v>2484</v>
      </c>
      <c r="S363">
        <v>2348</v>
      </c>
      <c r="T363">
        <v>1710</v>
      </c>
      <c r="U363">
        <v>1425</v>
      </c>
      <c r="V363">
        <v>1283</v>
      </c>
      <c r="W363">
        <v>1198</v>
      </c>
      <c r="X363">
        <v>1119</v>
      </c>
      <c r="Y363">
        <v>1003</v>
      </c>
      <c r="Z363">
        <v>784</v>
      </c>
      <c r="AA363">
        <v>751</v>
      </c>
      <c r="AB363">
        <v>734</v>
      </c>
      <c r="AC363">
        <v>731</v>
      </c>
      <c r="AD363">
        <v>687</v>
      </c>
      <c r="AE363">
        <v>680</v>
      </c>
      <c r="AF363">
        <v>669</v>
      </c>
      <c r="AG363">
        <v>636</v>
      </c>
      <c r="AH363">
        <v>606</v>
      </c>
      <c r="AI363">
        <v>589</v>
      </c>
      <c r="AJ363">
        <v>485</v>
      </c>
      <c r="AK363">
        <v>355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988250</v>
      </c>
    </row>
    <row r="364" spans="1:51" hidden="1" x14ac:dyDescent="0.2">
      <c r="A364" t="s">
        <v>22</v>
      </c>
      <c r="C364">
        <v>362</v>
      </c>
      <c r="D364">
        <v>22</v>
      </c>
      <c r="E364" t="s">
        <v>444</v>
      </c>
      <c r="F364">
        <v>2014</v>
      </c>
      <c r="H364">
        <v>462693</v>
      </c>
      <c r="I364">
        <v>249645</v>
      </c>
      <c r="J364">
        <v>238887</v>
      </c>
      <c r="K364">
        <v>31998</v>
      </c>
      <c r="L364">
        <v>11605</v>
      </c>
      <c r="M364">
        <v>6324</v>
      </c>
      <c r="N364">
        <v>3940</v>
      </c>
      <c r="O364">
        <v>2995</v>
      </c>
      <c r="P364">
        <v>2924</v>
      </c>
      <c r="Q364">
        <v>2762</v>
      </c>
      <c r="R364">
        <v>2369</v>
      </c>
      <c r="S364">
        <v>2211</v>
      </c>
      <c r="T364">
        <v>1821</v>
      </c>
      <c r="U364">
        <v>1636</v>
      </c>
      <c r="V364">
        <v>1509</v>
      </c>
      <c r="W364">
        <v>1490</v>
      </c>
      <c r="X364">
        <v>1302</v>
      </c>
      <c r="Y364">
        <v>1201</v>
      </c>
      <c r="Z364">
        <v>1018</v>
      </c>
      <c r="AA364">
        <v>986</v>
      </c>
      <c r="AB364">
        <v>877</v>
      </c>
      <c r="AC364">
        <v>633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1030826</v>
      </c>
    </row>
    <row r="365" spans="1:51" hidden="1" x14ac:dyDescent="0.2">
      <c r="A365" t="s">
        <v>22</v>
      </c>
      <c r="C365">
        <v>363</v>
      </c>
      <c r="D365">
        <v>18</v>
      </c>
      <c r="E365" t="s">
        <v>445</v>
      </c>
      <c r="F365">
        <v>2014</v>
      </c>
      <c r="H365">
        <v>481429</v>
      </c>
      <c r="I365">
        <v>278304</v>
      </c>
      <c r="J365">
        <v>147606</v>
      </c>
      <c r="K365">
        <v>26650</v>
      </c>
      <c r="L365">
        <v>11122</v>
      </c>
      <c r="M365">
        <v>10338</v>
      </c>
      <c r="N365">
        <v>7678</v>
      </c>
      <c r="O365">
        <v>6250</v>
      </c>
      <c r="P365">
        <v>3473</v>
      </c>
      <c r="Q365">
        <v>2642</v>
      </c>
      <c r="R365">
        <v>1782</v>
      </c>
      <c r="S365">
        <v>1370</v>
      </c>
      <c r="T365">
        <v>1309</v>
      </c>
      <c r="U365">
        <v>1257</v>
      </c>
      <c r="V365">
        <v>944</v>
      </c>
      <c r="W365">
        <v>872</v>
      </c>
      <c r="X365">
        <v>862</v>
      </c>
      <c r="Y365">
        <v>650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984538</v>
      </c>
    </row>
    <row r="366" spans="1:51" hidden="1" x14ac:dyDescent="0.2">
      <c r="A366" t="s">
        <v>22</v>
      </c>
      <c r="C366">
        <v>364</v>
      </c>
      <c r="D366">
        <v>16</v>
      </c>
      <c r="E366" t="s">
        <v>446</v>
      </c>
      <c r="F366">
        <v>2014</v>
      </c>
      <c r="H366">
        <v>429536</v>
      </c>
      <c r="I366">
        <v>301041</v>
      </c>
      <c r="J366">
        <v>279016</v>
      </c>
      <c r="K366">
        <v>28988</v>
      </c>
      <c r="L366">
        <v>12138</v>
      </c>
      <c r="M366">
        <v>8875</v>
      </c>
      <c r="N366">
        <v>6824</v>
      </c>
      <c r="O366">
        <v>5179</v>
      </c>
      <c r="P366">
        <v>4896</v>
      </c>
      <c r="Q366">
        <v>3370</v>
      </c>
      <c r="R366">
        <v>1772</v>
      </c>
      <c r="S366">
        <v>1543</v>
      </c>
      <c r="T366">
        <v>1523</v>
      </c>
      <c r="U366">
        <v>1469</v>
      </c>
      <c r="V366">
        <v>1182</v>
      </c>
      <c r="W366">
        <v>1071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1088423</v>
      </c>
    </row>
    <row r="367" spans="1:51" hidden="1" x14ac:dyDescent="0.2">
      <c r="A367" t="s">
        <v>22</v>
      </c>
      <c r="C367">
        <v>365</v>
      </c>
      <c r="D367">
        <v>20</v>
      </c>
      <c r="E367" t="s">
        <v>447</v>
      </c>
      <c r="F367">
        <v>2014</v>
      </c>
      <c r="H367">
        <v>513729</v>
      </c>
      <c r="I367">
        <v>236679</v>
      </c>
      <c r="J367">
        <v>144085</v>
      </c>
      <c r="K367">
        <v>58465</v>
      </c>
      <c r="L367">
        <v>13181</v>
      </c>
      <c r="M367">
        <v>11613</v>
      </c>
      <c r="N367">
        <v>7582</v>
      </c>
      <c r="O367">
        <v>7214</v>
      </c>
      <c r="P367">
        <v>6286</v>
      </c>
      <c r="Q367">
        <v>4714</v>
      </c>
      <c r="R367">
        <v>4149</v>
      </c>
      <c r="S367">
        <v>3654</v>
      </c>
      <c r="T367">
        <v>2643</v>
      </c>
      <c r="U367">
        <v>2327</v>
      </c>
      <c r="V367">
        <v>2303</v>
      </c>
      <c r="W367">
        <v>2028</v>
      </c>
      <c r="X367">
        <v>1994</v>
      </c>
      <c r="Y367">
        <v>1066</v>
      </c>
      <c r="Z367">
        <v>1056</v>
      </c>
      <c r="AA367">
        <v>770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1025538</v>
      </c>
    </row>
    <row r="368" spans="1:51" hidden="1" x14ac:dyDescent="0.2">
      <c r="A368" t="s">
        <v>22</v>
      </c>
      <c r="C368">
        <v>366</v>
      </c>
      <c r="D368">
        <v>10</v>
      </c>
      <c r="E368" t="s">
        <v>448</v>
      </c>
      <c r="F368">
        <v>2014</v>
      </c>
      <c r="H368">
        <v>434174</v>
      </c>
      <c r="I368">
        <v>328095</v>
      </c>
      <c r="J368">
        <v>90313</v>
      </c>
      <c r="K368">
        <v>43506</v>
      </c>
      <c r="L368">
        <v>23967</v>
      </c>
      <c r="M368">
        <v>15662</v>
      </c>
      <c r="N368">
        <v>1851</v>
      </c>
      <c r="O368">
        <v>1847</v>
      </c>
      <c r="P368">
        <v>1754</v>
      </c>
      <c r="Q368">
        <v>1033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942202</v>
      </c>
    </row>
    <row r="369" spans="1:51" hidden="1" x14ac:dyDescent="0.2">
      <c r="A369" t="s">
        <v>22</v>
      </c>
      <c r="C369">
        <v>367</v>
      </c>
      <c r="D369">
        <v>13</v>
      </c>
      <c r="E369" t="s">
        <v>449</v>
      </c>
      <c r="F369">
        <v>2014</v>
      </c>
      <c r="H369">
        <v>510307</v>
      </c>
      <c r="I369">
        <v>366188</v>
      </c>
      <c r="J369">
        <v>58521</v>
      </c>
      <c r="K369">
        <v>30232</v>
      </c>
      <c r="L369">
        <v>23215</v>
      </c>
      <c r="M369">
        <v>12212</v>
      </c>
      <c r="N369">
        <v>2511</v>
      </c>
      <c r="O369">
        <v>2253</v>
      </c>
      <c r="P369">
        <v>1830</v>
      </c>
      <c r="Q369">
        <v>1511</v>
      </c>
      <c r="R369">
        <v>1415</v>
      </c>
      <c r="S369">
        <v>1169</v>
      </c>
      <c r="T369">
        <v>894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1012258</v>
      </c>
    </row>
    <row r="370" spans="1:51" hidden="1" x14ac:dyDescent="0.2">
      <c r="A370" t="s">
        <v>22</v>
      </c>
      <c r="C370">
        <v>368</v>
      </c>
      <c r="D370">
        <v>28</v>
      </c>
      <c r="E370" t="s">
        <v>450</v>
      </c>
      <c r="F370">
        <v>2014</v>
      </c>
      <c r="H370">
        <v>475993</v>
      </c>
      <c r="I370">
        <v>246608</v>
      </c>
      <c r="J370">
        <v>133763</v>
      </c>
      <c r="K370">
        <v>104678</v>
      </c>
      <c r="L370">
        <v>20473</v>
      </c>
      <c r="M370">
        <v>8042</v>
      </c>
      <c r="N370">
        <v>4029</v>
      </c>
      <c r="O370">
        <v>3056</v>
      </c>
      <c r="P370">
        <v>3023</v>
      </c>
      <c r="Q370">
        <v>3021</v>
      </c>
      <c r="R370">
        <v>2987</v>
      </c>
      <c r="S370">
        <v>2196</v>
      </c>
      <c r="T370">
        <v>2131</v>
      </c>
      <c r="U370">
        <v>2100</v>
      </c>
      <c r="V370">
        <v>2050</v>
      </c>
      <c r="W370">
        <v>1699</v>
      </c>
      <c r="X370">
        <v>1438</v>
      </c>
      <c r="Y370">
        <v>1337</v>
      </c>
      <c r="Z370">
        <v>1269</v>
      </c>
      <c r="AA370">
        <v>1007</v>
      </c>
      <c r="AB370">
        <v>949</v>
      </c>
      <c r="AC370">
        <v>873</v>
      </c>
      <c r="AD370">
        <v>837</v>
      </c>
      <c r="AE370">
        <v>794</v>
      </c>
      <c r="AF370">
        <v>741</v>
      </c>
      <c r="AG370">
        <v>736</v>
      </c>
      <c r="AH370">
        <v>641</v>
      </c>
      <c r="AI370">
        <v>565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1027036</v>
      </c>
    </row>
    <row r="371" spans="1:51" hidden="1" x14ac:dyDescent="0.2">
      <c r="A371" t="s">
        <v>22</v>
      </c>
      <c r="C371">
        <v>369</v>
      </c>
      <c r="D371">
        <v>32</v>
      </c>
      <c r="E371" t="s">
        <v>451</v>
      </c>
      <c r="F371">
        <v>2014</v>
      </c>
      <c r="H371">
        <v>453785</v>
      </c>
      <c r="I371">
        <v>254361</v>
      </c>
      <c r="J371">
        <v>146751</v>
      </c>
      <c r="K371">
        <v>32154</v>
      </c>
      <c r="L371">
        <v>30126</v>
      </c>
      <c r="M371">
        <v>19765</v>
      </c>
      <c r="N371">
        <v>6289</v>
      </c>
      <c r="O371">
        <v>5378</v>
      </c>
      <c r="P371">
        <v>4467</v>
      </c>
      <c r="Q371">
        <v>2754</v>
      </c>
      <c r="R371">
        <v>2740</v>
      </c>
      <c r="S371">
        <v>2054</v>
      </c>
      <c r="T371">
        <v>1563</v>
      </c>
      <c r="U371">
        <v>1474</v>
      </c>
      <c r="V371">
        <v>1253</v>
      </c>
      <c r="W371">
        <v>1226</v>
      </c>
      <c r="X371">
        <v>957</v>
      </c>
      <c r="Y371">
        <v>900</v>
      </c>
      <c r="Z371">
        <v>719</v>
      </c>
      <c r="AA371">
        <v>666</v>
      </c>
      <c r="AB371">
        <v>572</v>
      </c>
      <c r="AC371">
        <v>565</v>
      </c>
      <c r="AD371">
        <v>556</v>
      </c>
      <c r="AE371">
        <v>483</v>
      </c>
      <c r="AF371">
        <v>448</v>
      </c>
      <c r="AG371">
        <v>432</v>
      </c>
      <c r="AH371">
        <v>430</v>
      </c>
      <c r="AI371">
        <v>424</v>
      </c>
      <c r="AJ371">
        <v>423</v>
      </c>
      <c r="AK371">
        <v>392</v>
      </c>
      <c r="AL371">
        <v>363</v>
      </c>
      <c r="AM371">
        <v>339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974809</v>
      </c>
    </row>
    <row r="372" spans="1:51" hidden="1" x14ac:dyDescent="0.2">
      <c r="A372" t="s">
        <v>22</v>
      </c>
      <c r="C372">
        <v>370</v>
      </c>
      <c r="D372">
        <v>24</v>
      </c>
      <c r="E372" t="s">
        <v>452</v>
      </c>
      <c r="F372">
        <v>2014</v>
      </c>
      <c r="H372">
        <v>571254</v>
      </c>
      <c r="I372">
        <v>256722</v>
      </c>
      <c r="J372">
        <v>134362</v>
      </c>
      <c r="K372">
        <v>71432</v>
      </c>
      <c r="L372">
        <v>10312</v>
      </c>
      <c r="M372">
        <v>5299</v>
      </c>
      <c r="N372">
        <v>3521</v>
      </c>
      <c r="O372">
        <v>3213</v>
      </c>
      <c r="P372">
        <v>2908</v>
      </c>
      <c r="Q372">
        <v>2681</v>
      </c>
      <c r="R372">
        <v>1954</v>
      </c>
      <c r="S372">
        <v>1349</v>
      </c>
      <c r="T372">
        <v>1273</v>
      </c>
      <c r="U372">
        <v>1107</v>
      </c>
      <c r="V372">
        <v>1082</v>
      </c>
      <c r="W372">
        <v>991</v>
      </c>
      <c r="X372">
        <v>946</v>
      </c>
      <c r="Y372">
        <v>859</v>
      </c>
      <c r="Z372">
        <v>767</v>
      </c>
      <c r="AA372">
        <v>742</v>
      </c>
      <c r="AB372">
        <v>739</v>
      </c>
      <c r="AC372">
        <v>696</v>
      </c>
      <c r="AD372">
        <v>695</v>
      </c>
      <c r="AE372">
        <v>679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1075583</v>
      </c>
    </row>
    <row r="373" spans="1:51" hidden="1" x14ac:dyDescent="0.2">
      <c r="A373" t="s">
        <v>22</v>
      </c>
      <c r="C373">
        <v>371</v>
      </c>
      <c r="D373">
        <v>27</v>
      </c>
      <c r="E373" t="s">
        <v>453</v>
      </c>
      <c r="F373">
        <v>2014</v>
      </c>
      <c r="H373">
        <v>406694</v>
      </c>
      <c r="I373">
        <v>261143</v>
      </c>
      <c r="J373">
        <v>241505</v>
      </c>
      <c r="K373">
        <v>38482</v>
      </c>
      <c r="L373">
        <v>20157</v>
      </c>
      <c r="M373">
        <v>12225</v>
      </c>
      <c r="N373">
        <v>3470</v>
      </c>
      <c r="O373">
        <v>3411</v>
      </c>
      <c r="P373">
        <v>2721</v>
      </c>
      <c r="Q373">
        <v>2522</v>
      </c>
      <c r="R373">
        <v>2342</v>
      </c>
      <c r="S373">
        <v>2249</v>
      </c>
      <c r="T373">
        <v>1685</v>
      </c>
      <c r="U373">
        <v>1517</v>
      </c>
      <c r="V373">
        <v>1155</v>
      </c>
      <c r="W373">
        <v>1133</v>
      </c>
      <c r="X373">
        <v>1068</v>
      </c>
      <c r="Y373">
        <v>1017</v>
      </c>
      <c r="Z373">
        <v>922</v>
      </c>
      <c r="AA373">
        <v>903</v>
      </c>
      <c r="AB373">
        <v>714</v>
      </c>
      <c r="AC373">
        <v>711</v>
      </c>
      <c r="AD373">
        <v>700</v>
      </c>
      <c r="AE373">
        <v>681</v>
      </c>
      <c r="AF373">
        <v>642</v>
      </c>
      <c r="AG373">
        <v>629</v>
      </c>
      <c r="AH373">
        <v>532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1010930</v>
      </c>
    </row>
    <row r="374" spans="1:51" hidden="1" x14ac:dyDescent="0.2">
      <c r="A374" t="s">
        <v>22</v>
      </c>
      <c r="C374">
        <v>372</v>
      </c>
      <c r="D374">
        <v>32</v>
      </c>
      <c r="E374" t="s">
        <v>454</v>
      </c>
      <c r="F374">
        <v>2014</v>
      </c>
      <c r="H374">
        <v>405945</v>
      </c>
      <c r="I374">
        <v>286621</v>
      </c>
      <c r="J374">
        <v>171082</v>
      </c>
      <c r="K374">
        <v>62160</v>
      </c>
      <c r="L374">
        <v>12541</v>
      </c>
      <c r="M374">
        <v>12312</v>
      </c>
      <c r="N374">
        <v>10945</v>
      </c>
      <c r="O374">
        <v>6279</v>
      </c>
      <c r="P374">
        <v>3969</v>
      </c>
      <c r="Q374">
        <v>3471</v>
      </c>
      <c r="R374">
        <v>3125</v>
      </c>
      <c r="S374">
        <v>2684</v>
      </c>
      <c r="T374">
        <v>2123</v>
      </c>
      <c r="U374">
        <v>1415</v>
      </c>
      <c r="V374">
        <v>1355</v>
      </c>
      <c r="W374">
        <v>1321</v>
      </c>
      <c r="X374">
        <v>1220</v>
      </c>
      <c r="Y374">
        <v>1171</v>
      </c>
      <c r="Z374">
        <v>1129</v>
      </c>
      <c r="AA374">
        <v>1037</v>
      </c>
      <c r="AB374">
        <v>999</v>
      </c>
      <c r="AC374">
        <v>985</v>
      </c>
      <c r="AD374">
        <v>941</v>
      </c>
      <c r="AE374">
        <v>914</v>
      </c>
      <c r="AF374">
        <v>835</v>
      </c>
      <c r="AG374">
        <v>814</v>
      </c>
      <c r="AH374">
        <v>785</v>
      </c>
      <c r="AI374">
        <v>747</v>
      </c>
      <c r="AJ374">
        <v>645</v>
      </c>
      <c r="AK374">
        <v>577</v>
      </c>
      <c r="AL374">
        <v>478</v>
      </c>
      <c r="AM374">
        <v>423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1001048</v>
      </c>
    </row>
    <row r="375" spans="1:51" hidden="1" x14ac:dyDescent="0.2">
      <c r="A375" t="s">
        <v>22</v>
      </c>
      <c r="C375">
        <v>373</v>
      </c>
      <c r="D375">
        <v>15</v>
      </c>
      <c r="E375" t="s">
        <v>455</v>
      </c>
      <c r="F375">
        <v>2014</v>
      </c>
      <c r="H375">
        <v>366052</v>
      </c>
      <c r="I375">
        <v>242050</v>
      </c>
      <c r="J375">
        <v>182191</v>
      </c>
      <c r="K375">
        <v>63080</v>
      </c>
      <c r="L375">
        <v>26476</v>
      </c>
      <c r="M375">
        <v>14993</v>
      </c>
      <c r="N375">
        <v>11447</v>
      </c>
      <c r="O375">
        <v>3205</v>
      </c>
      <c r="P375">
        <v>1727</v>
      </c>
      <c r="Q375">
        <v>1157</v>
      </c>
      <c r="R375">
        <v>1129</v>
      </c>
      <c r="S375">
        <v>983</v>
      </c>
      <c r="T375">
        <v>784</v>
      </c>
      <c r="U375">
        <v>765</v>
      </c>
      <c r="V375">
        <v>739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916778</v>
      </c>
    </row>
    <row r="376" spans="1:51" hidden="1" x14ac:dyDescent="0.2">
      <c r="A376" t="s">
        <v>22</v>
      </c>
      <c r="C376">
        <v>374</v>
      </c>
      <c r="D376">
        <v>19</v>
      </c>
      <c r="E376" t="s">
        <v>456</v>
      </c>
      <c r="F376">
        <v>2014</v>
      </c>
      <c r="H376">
        <v>424586</v>
      </c>
      <c r="I376">
        <v>262812</v>
      </c>
      <c r="J376">
        <v>190233</v>
      </c>
      <c r="K376">
        <v>58963</v>
      </c>
      <c r="L376">
        <v>23528</v>
      </c>
      <c r="M376">
        <v>14492</v>
      </c>
      <c r="N376">
        <v>12115</v>
      </c>
      <c r="O376">
        <v>8022</v>
      </c>
      <c r="P376">
        <v>3904</v>
      </c>
      <c r="Q376">
        <v>3331</v>
      </c>
      <c r="R376">
        <v>2917</v>
      </c>
      <c r="S376">
        <v>2513</v>
      </c>
      <c r="T376">
        <v>2163</v>
      </c>
      <c r="U376">
        <v>1809</v>
      </c>
      <c r="V376">
        <v>1777</v>
      </c>
      <c r="W376">
        <v>1454</v>
      </c>
      <c r="X376">
        <v>1216</v>
      </c>
      <c r="Y376">
        <v>1215</v>
      </c>
      <c r="Z376">
        <v>888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1017938</v>
      </c>
    </row>
    <row r="377" spans="1:51" hidden="1" x14ac:dyDescent="0.2">
      <c r="A377" t="s">
        <v>22</v>
      </c>
      <c r="C377">
        <v>375</v>
      </c>
      <c r="D377">
        <v>28</v>
      </c>
      <c r="E377" t="s">
        <v>457</v>
      </c>
      <c r="F377">
        <v>2014</v>
      </c>
      <c r="H377">
        <v>398139</v>
      </c>
      <c r="I377">
        <v>272040</v>
      </c>
      <c r="J377">
        <v>127370</v>
      </c>
      <c r="K377">
        <v>62863</v>
      </c>
      <c r="L377">
        <v>19381</v>
      </c>
      <c r="M377">
        <v>18353</v>
      </c>
      <c r="N377">
        <v>14877</v>
      </c>
      <c r="O377">
        <v>12893</v>
      </c>
      <c r="P377">
        <v>4692</v>
      </c>
      <c r="Q377">
        <v>3394</v>
      </c>
      <c r="R377">
        <v>3233</v>
      </c>
      <c r="S377">
        <v>3062</v>
      </c>
      <c r="T377">
        <v>2518</v>
      </c>
      <c r="U377">
        <v>1850</v>
      </c>
      <c r="V377">
        <v>1823</v>
      </c>
      <c r="W377">
        <v>1751</v>
      </c>
      <c r="X377">
        <v>1579</v>
      </c>
      <c r="Y377">
        <v>1446</v>
      </c>
      <c r="Z377">
        <v>1391</v>
      </c>
      <c r="AA377">
        <v>1387</v>
      </c>
      <c r="AB377">
        <v>1281</v>
      </c>
      <c r="AC377">
        <v>1262</v>
      </c>
      <c r="AD377">
        <v>1196</v>
      </c>
      <c r="AE377">
        <v>1159</v>
      </c>
      <c r="AF377">
        <v>1052</v>
      </c>
      <c r="AG377">
        <v>947</v>
      </c>
      <c r="AH377">
        <v>740</v>
      </c>
      <c r="AI377">
        <v>651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962330</v>
      </c>
    </row>
    <row r="378" spans="1:51" hidden="1" x14ac:dyDescent="0.2">
      <c r="A378" t="s">
        <v>22</v>
      </c>
      <c r="C378">
        <v>376</v>
      </c>
      <c r="D378">
        <v>26</v>
      </c>
      <c r="E378" t="s">
        <v>458</v>
      </c>
      <c r="F378">
        <v>2014</v>
      </c>
      <c r="H378">
        <v>372906</v>
      </c>
      <c r="I378">
        <v>244244</v>
      </c>
      <c r="J378">
        <v>176239</v>
      </c>
      <c r="K378">
        <v>117933</v>
      </c>
      <c r="L378">
        <v>35284</v>
      </c>
      <c r="M378">
        <v>15314</v>
      </c>
      <c r="N378">
        <v>4150</v>
      </c>
      <c r="O378">
        <v>3851</v>
      </c>
      <c r="P378">
        <v>3236</v>
      </c>
      <c r="Q378">
        <v>2391</v>
      </c>
      <c r="R378">
        <v>1737</v>
      </c>
      <c r="S378">
        <v>1647</v>
      </c>
      <c r="T378">
        <v>1557</v>
      </c>
      <c r="U378">
        <v>1474</v>
      </c>
      <c r="V378">
        <v>1437</v>
      </c>
      <c r="W378">
        <v>1246</v>
      </c>
      <c r="X378">
        <v>955</v>
      </c>
      <c r="Y378">
        <v>930</v>
      </c>
      <c r="Z378">
        <v>791</v>
      </c>
      <c r="AA378">
        <v>591</v>
      </c>
      <c r="AB378">
        <v>536</v>
      </c>
      <c r="AC378">
        <v>534</v>
      </c>
      <c r="AD378">
        <v>504</v>
      </c>
      <c r="AE378">
        <v>436</v>
      </c>
      <c r="AF378">
        <v>421</v>
      </c>
      <c r="AG378">
        <v>398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990742</v>
      </c>
    </row>
    <row r="379" spans="1:51" hidden="1" x14ac:dyDescent="0.2">
      <c r="A379" t="s">
        <v>24</v>
      </c>
      <c r="C379">
        <v>377</v>
      </c>
      <c r="D379">
        <v>14</v>
      </c>
      <c r="E379" t="s">
        <v>459</v>
      </c>
      <c r="F379">
        <v>2014</v>
      </c>
      <c r="H379">
        <v>671665</v>
      </c>
      <c r="I379">
        <v>168179</v>
      </c>
      <c r="J379">
        <v>117727</v>
      </c>
      <c r="K379">
        <v>54706</v>
      </c>
      <c r="L379">
        <v>12699</v>
      </c>
      <c r="M379">
        <v>11040</v>
      </c>
      <c r="N379">
        <v>8202</v>
      </c>
      <c r="O379">
        <v>5947</v>
      </c>
      <c r="P379">
        <v>4981</v>
      </c>
      <c r="Q379">
        <v>4690</v>
      </c>
      <c r="R379">
        <v>4226</v>
      </c>
      <c r="S379">
        <v>3747</v>
      </c>
      <c r="T379">
        <v>2879</v>
      </c>
      <c r="U379">
        <v>2061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1072749</v>
      </c>
    </row>
    <row r="380" spans="1:51" hidden="1" x14ac:dyDescent="0.2">
      <c r="A380" t="s">
        <v>24</v>
      </c>
      <c r="C380">
        <v>378</v>
      </c>
      <c r="D380">
        <v>13</v>
      </c>
      <c r="E380" t="s">
        <v>460</v>
      </c>
      <c r="F380">
        <v>2014</v>
      </c>
      <c r="H380">
        <v>623771</v>
      </c>
      <c r="I380">
        <v>139413</v>
      </c>
      <c r="J380">
        <v>77028</v>
      </c>
      <c r="K380">
        <v>60613</v>
      </c>
      <c r="L380">
        <v>11084</v>
      </c>
      <c r="M380">
        <v>10286</v>
      </c>
      <c r="N380">
        <v>5066</v>
      </c>
      <c r="O380">
        <v>4871</v>
      </c>
      <c r="P380">
        <v>4444</v>
      </c>
      <c r="Q380">
        <v>4262</v>
      </c>
      <c r="R380">
        <v>4152</v>
      </c>
      <c r="S380">
        <v>3086</v>
      </c>
      <c r="T380">
        <v>3004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951080</v>
      </c>
    </row>
    <row r="381" spans="1:51" hidden="1" x14ac:dyDescent="0.2">
      <c r="A381" t="s">
        <v>25</v>
      </c>
      <c r="C381">
        <v>379</v>
      </c>
      <c r="D381">
        <v>15</v>
      </c>
      <c r="E381" t="s">
        <v>461</v>
      </c>
      <c r="F381">
        <v>2014</v>
      </c>
      <c r="H381">
        <v>472999</v>
      </c>
      <c r="I381">
        <v>407909</v>
      </c>
      <c r="J381">
        <v>235033</v>
      </c>
      <c r="K381">
        <v>52765</v>
      </c>
      <c r="L381">
        <v>6267</v>
      </c>
      <c r="M381">
        <v>4068</v>
      </c>
      <c r="N381">
        <v>4057</v>
      </c>
      <c r="O381">
        <v>3065</v>
      </c>
      <c r="P381">
        <v>2114</v>
      </c>
      <c r="Q381">
        <v>1888</v>
      </c>
      <c r="R381">
        <v>1366</v>
      </c>
      <c r="S381">
        <v>1066</v>
      </c>
      <c r="T381">
        <v>692</v>
      </c>
      <c r="U381">
        <v>553</v>
      </c>
      <c r="V381">
        <v>466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1194308</v>
      </c>
    </row>
    <row r="382" spans="1:51" hidden="1" x14ac:dyDescent="0.2">
      <c r="A382" t="s">
        <v>25</v>
      </c>
      <c r="C382">
        <v>380</v>
      </c>
      <c r="D382">
        <v>12</v>
      </c>
      <c r="E382" t="s">
        <v>462</v>
      </c>
      <c r="F382">
        <v>2014</v>
      </c>
      <c r="H382">
        <v>565909</v>
      </c>
      <c r="I382">
        <v>329081</v>
      </c>
      <c r="J382">
        <v>160414</v>
      </c>
      <c r="K382">
        <v>42706</v>
      </c>
      <c r="L382">
        <v>6562</v>
      </c>
      <c r="M382">
        <v>3903</v>
      </c>
      <c r="N382">
        <v>2971</v>
      </c>
      <c r="O382">
        <v>2662</v>
      </c>
      <c r="P382">
        <v>1741</v>
      </c>
      <c r="Q382">
        <v>1376</v>
      </c>
      <c r="R382">
        <v>1050</v>
      </c>
      <c r="S382">
        <v>949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1119324</v>
      </c>
    </row>
    <row r="383" spans="1:51" hidden="1" x14ac:dyDescent="0.2">
      <c r="A383" t="s">
        <v>25</v>
      </c>
      <c r="C383">
        <v>381</v>
      </c>
      <c r="D383">
        <v>20</v>
      </c>
      <c r="E383" t="s">
        <v>463</v>
      </c>
      <c r="F383">
        <v>2014</v>
      </c>
      <c r="H383">
        <v>653391</v>
      </c>
      <c r="I383">
        <v>252241</v>
      </c>
      <c r="J383">
        <v>160810</v>
      </c>
      <c r="K383">
        <v>12937</v>
      </c>
      <c r="L383">
        <v>4739</v>
      </c>
      <c r="M383">
        <v>4129</v>
      </c>
      <c r="N383">
        <v>3482</v>
      </c>
      <c r="O383">
        <v>3431</v>
      </c>
      <c r="P383">
        <v>2238</v>
      </c>
      <c r="Q383">
        <v>1933</v>
      </c>
      <c r="R383">
        <v>1864</v>
      </c>
      <c r="S383">
        <v>1682</v>
      </c>
      <c r="T383">
        <v>845</v>
      </c>
      <c r="U383">
        <v>750</v>
      </c>
      <c r="V383">
        <v>723</v>
      </c>
      <c r="W383">
        <v>543</v>
      </c>
      <c r="X383">
        <v>499</v>
      </c>
      <c r="Y383">
        <v>487</v>
      </c>
      <c r="Z383">
        <v>360</v>
      </c>
      <c r="AA383">
        <v>350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1107434</v>
      </c>
    </row>
    <row r="384" spans="1:51" hidden="1" x14ac:dyDescent="0.2">
      <c r="A384" t="s">
        <v>25</v>
      </c>
      <c r="C384">
        <v>382</v>
      </c>
      <c r="D384">
        <v>13</v>
      </c>
      <c r="E384" t="s">
        <v>464</v>
      </c>
      <c r="F384">
        <v>2014</v>
      </c>
      <c r="H384">
        <v>486913</v>
      </c>
      <c r="I384">
        <v>281139</v>
      </c>
      <c r="J384">
        <v>230124</v>
      </c>
      <c r="K384">
        <v>24348</v>
      </c>
      <c r="L384">
        <v>15801</v>
      </c>
      <c r="M384">
        <v>5775</v>
      </c>
      <c r="N384">
        <v>3317</v>
      </c>
      <c r="O384">
        <v>2967</v>
      </c>
      <c r="P384">
        <v>2545</v>
      </c>
      <c r="Q384">
        <v>2483</v>
      </c>
      <c r="R384">
        <v>2456</v>
      </c>
      <c r="S384">
        <v>1756</v>
      </c>
      <c r="T384">
        <v>722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1060346</v>
      </c>
    </row>
    <row r="385" spans="1:51" hidden="1" x14ac:dyDescent="0.2">
      <c r="A385" t="s">
        <v>25</v>
      </c>
      <c r="C385">
        <v>383</v>
      </c>
      <c r="D385">
        <v>15</v>
      </c>
      <c r="E385" t="s">
        <v>465</v>
      </c>
      <c r="F385">
        <v>2014</v>
      </c>
      <c r="H385">
        <v>367825</v>
      </c>
      <c r="I385">
        <v>275435</v>
      </c>
      <c r="J385">
        <v>245685</v>
      </c>
      <c r="K385">
        <v>21334</v>
      </c>
      <c r="L385">
        <v>6470</v>
      </c>
      <c r="M385">
        <v>4581</v>
      </c>
      <c r="N385">
        <v>4328</v>
      </c>
      <c r="O385">
        <v>3695</v>
      </c>
      <c r="P385">
        <v>3577</v>
      </c>
      <c r="Q385">
        <v>2967</v>
      </c>
      <c r="R385">
        <v>1845</v>
      </c>
      <c r="S385">
        <v>1714</v>
      </c>
      <c r="T385">
        <v>1027</v>
      </c>
      <c r="U385">
        <v>861</v>
      </c>
      <c r="V385">
        <v>852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942196</v>
      </c>
    </row>
    <row r="386" spans="1:51" hidden="1" x14ac:dyDescent="0.2">
      <c r="A386" t="s">
        <v>25</v>
      </c>
      <c r="C386">
        <v>384</v>
      </c>
      <c r="D386">
        <v>19</v>
      </c>
      <c r="E386" t="s">
        <v>466</v>
      </c>
      <c r="F386">
        <v>2014</v>
      </c>
      <c r="H386">
        <v>485224</v>
      </c>
      <c r="I386">
        <v>397720</v>
      </c>
      <c r="J386">
        <v>160945</v>
      </c>
      <c r="K386">
        <v>25840</v>
      </c>
      <c r="L386">
        <v>19732</v>
      </c>
      <c r="M386">
        <v>5647</v>
      </c>
      <c r="N386">
        <v>5207</v>
      </c>
      <c r="O386">
        <v>4469</v>
      </c>
      <c r="P386">
        <v>4097</v>
      </c>
      <c r="Q386">
        <v>3180</v>
      </c>
      <c r="R386">
        <v>3047</v>
      </c>
      <c r="S386">
        <v>2971</v>
      </c>
      <c r="T386">
        <v>2267</v>
      </c>
      <c r="U386">
        <v>1710</v>
      </c>
      <c r="V386">
        <v>1334</v>
      </c>
      <c r="W386">
        <v>1282</v>
      </c>
      <c r="X386">
        <v>1278</v>
      </c>
      <c r="Y386">
        <v>1059</v>
      </c>
      <c r="Z386">
        <v>956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1127965</v>
      </c>
    </row>
    <row r="387" spans="1:51" hidden="1" x14ac:dyDescent="0.2">
      <c r="A387" t="s">
        <v>25</v>
      </c>
      <c r="C387">
        <v>385</v>
      </c>
      <c r="D387">
        <v>13</v>
      </c>
      <c r="E387" t="s">
        <v>467</v>
      </c>
      <c r="F387">
        <v>2014</v>
      </c>
      <c r="H387">
        <v>358616</v>
      </c>
      <c r="I387">
        <v>335181</v>
      </c>
      <c r="J387">
        <v>156466</v>
      </c>
      <c r="K387">
        <v>81006</v>
      </c>
      <c r="L387">
        <v>6905</v>
      </c>
      <c r="M387">
        <v>4473</v>
      </c>
      <c r="N387">
        <v>2505</v>
      </c>
      <c r="O387">
        <v>2448</v>
      </c>
      <c r="P387">
        <v>2079</v>
      </c>
      <c r="Q387">
        <v>2063</v>
      </c>
      <c r="R387">
        <v>1996</v>
      </c>
      <c r="S387">
        <v>1834</v>
      </c>
      <c r="T387">
        <v>817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956389</v>
      </c>
    </row>
    <row r="388" spans="1:51" hidden="1" x14ac:dyDescent="0.2">
      <c r="A388" t="s">
        <v>25</v>
      </c>
      <c r="C388">
        <v>386</v>
      </c>
      <c r="D388">
        <v>14</v>
      </c>
      <c r="E388" t="s">
        <v>468</v>
      </c>
      <c r="F388">
        <v>2014</v>
      </c>
      <c r="H388">
        <v>360242</v>
      </c>
      <c r="I388">
        <v>355068</v>
      </c>
      <c r="J388">
        <v>252640</v>
      </c>
      <c r="K388">
        <v>36134</v>
      </c>
      <c r="L388">
        <v>16034</v>
      </c>
      <c r="M388">
        <v>7658</v>
      </c>
      <c r="N388">
        <v>6686</v>
      </c>
      <c r="O388">
        <v>6376</v>
      </c>
      <c r="P388">
        <v>3833</v>
      </c>
      <c r="Q388">
        <v>3648</v>
      </c>
      <c r="R388">
        <v>2791</v>
      </c>
      <c r="S388">
        <v>2322</v>
      </c>
      <c r="T388">
        <v>2005</v>
      </c>
      <c r="U388">
        <v>1565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1057002</v>
      </c>
    </row>
    <row r="389" spans="1:51" hidden="1" x14ac:dyDescent="0.2">
      <c r="A389" t="s">
        <v>25</v>
      </c>
      <c r="C389">
        <v>387</v>
      </c>
      <c r="D389">
        <v>16</v>
      </c>
      <c r="E389" t="s">
        <v>469</v>
      </c>
      <c r="F389">
        <v>2014</v>
      </c>
      <c r="H389">
        <v>528880</v>
      </c>
      <c r="I389">
        <v>370666</v>
      </c>
      <c r="J389">
        <v>162983</v>
      </c>
      <c r="K389">
        <v>9539</v>
      </c>
      <c r="L389">
        <v>7779</v>
      </c>
      <c r="M389">
        <v>2601</v>
      </c>
      <c r="N389">
        <v>2493</v>
      </c>
      <c r="O389">
        <v>2448</v>
      </c>
      <c r="P389">
        <v>2425</v>
      </c>
      <c r="Q389">
        <v>1431</v>
      </c>
      <c r="R389">
        <v>980</v>
      </c>
      <c r="S389">
        <v>858</v>
      </c>
      <c r="T389">
        <v>837</v>
      </c>
      <c r="U389">
        <v>749</v>
      </c>
      <c r="V389">
        <v>713</v>
      </c>
      <c r="W389">
        <v>478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1095860</v>
      </c>
    </row>
    <row r="390" spans="1:51" hidden="1" x14ac:dyDescent="0.2">
      <c r="A390" t="s">
        <v>25</v>
      </c>
      <c r="C390">
        <v>388</v>
      </c>
      <c r="D390">
        <v>14</v>
      </c>
      <c r="E390" t="s">
        <v>470</v>
      </c>
      <c r="F390">
        <v>2014</v>
      </c>
      <c r="H390">
        <v>532981</v>
      </c>
      <c r="I390">
        <v>300655</v>
      </c>
      <c r="J390">
        <v>211759</v>
      </c>
      <c r="K390">
        <v>42911</v>
      </c>
      <c r="L390">
        <v>11793</v>
      </c>
      <c r="M390">
        <v>5213</v>
      </c>
      <c r="N390">
        <v>1734</v>
      </c>
      <c r="O390">
        <v>1542</v>
      </c>
      <c r="P390">
        <v>1451</v>
      </c>
      <c r="Q390">
        <v>1063</v>
      </c>
      <c r="R390">
        <v>818</v>
      </c>
      <c r="S390">
        <v>734</v>
      </c>
      <c r="T390">
        <v>382</v>
      </c>
      <c r="U390">
        <v>348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1113384</v>
      </c>
    </row>
    <row r="391" spans="1:51" hidden="1" x14ac:dyDescent="0.2">
      <c r="A391" t="s">
        <v>25</v>
      </c>
      <c r="C391">
        <v>389</v>
      </c>
      <c r="D391">
        <v>15</v>
      </c>
      <c r="E391" t="s">
        <v>471</v>
      </c>
      <c r="F391">
        <v>2014</v>
      </c>
      <c r="H391">
        <v>423475</v>
      </c>
      <c r="I391">
        <v>213609</v>
      </c>
      <c r="J391">
        <v>199516</v>
      </c>
      <c r="K391">
        <v>141743</v>
      </c>
      <c r="L391">
        <v>5828</v>
      </c>
      <c r="M391">
        <v>3915</v>
      </c>
      <c r="N391">
        <v>3911</v>
      </c>
      <c r="O391">
        <v>3025</v>
      </c>
      <c r="P391">
        <v>2708</v>
      </c>
      <c r="Q391">
        <v>2092</v>
      </c>
      <c r="R391">
        <v>1967</v>
      </c>
      <c r="S391">
        <v>992</v>
      </c>
      <c r="T391">
        <v>601</v>
      </c>
      <c r="U391">
        <v>441</v>
      </c>
      <c r="V391">
        <v>440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1004263</v>
      </c>
    </row>
    <row r="392" spans="1:51" hidden="1" x14ac:dyDescent="0.2">
      <c r="A392" t="s">
        <v>25</v>
      </c>
      <c r="C392">
        <v>390</v>
      </c>
      <c r="D392">
        <v>16</v>
      </c>
      <c r="E392" t="s">
        <v>472</v>
      </c>
      <c r="F392">
        <v>2014</v>
      </c>
      <c r="H392">
        <v>758482</v>
      </c>
      <c r="I392">
        <v>191222</v>
      </c>
      <c r="J392">
        <v>173085</v>
      </c>
      <c r="K392">
        <v>106984</v>
      </c>
      <c r="L392">
        <v>89147</v>
      </c>
      <c r="M392">
        <v>6205</v>
      </c>
      <c r="N392">
        <v>4639</v>
      </c>
      <c r="O392">
        <v>3409</v>
      </c>
      <c r="P392">
        <v>1591</v>
      </c>
      <c r="Q392">
        <v>1548</v>
      </c>
      <c r="R392">
        <v>1486</v>
      </c>
      <c r="S392">
        <v>1185</v>
      </c>
      <c r="T392">
        <v>1094</v>
      </c>
      <c r="U392">
        <v>992</v>
      </c>
      <c r="V392">
        <v>628</v>
      </c>
      <c r="W392">
        <v>624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1342321</v>
      </c>
    </row>
    <row r="393" spans="1:51" hidden="1" x14ac:dyDescent="0.2">
      <c r="A393" t="s">
        <v>25</v>
      </c>
      <c r="C393">
        <v>391</v>
      </c>
      <c r="D393">
        <v>25</v>
      </c>
      <c r="E393" t="s">
        <v>473</v>
      </c>
      <c r="F393">
        <v>2014</v>
      </c>
      <c r="H393">
        <v>599702</v>
      </c>
      <c r="I393">
        <v>319490</v>
      </c>
      <c r="J393">
        <v>198237</v>
      </c>
      <c r="K393">
        <v>32358</v>
      </c>
      <c r="L393">
        <v>12727</v>
      </c>
      <c r="M393">
        <v>4506</v>
      </c>
      <c r="N393">
        <v>4198</v>
      </c>
      <c r="O393">
        <v>4130</v>
      </c>
      <c r="P393">
        <v>3836</v>
      </c>
      <c r="Q393">
        <v>3496</v>
      </c>
      <c r="R393">
        <v>2684</v>
      </c>
      <c r="S393">
        <v>2530</v>
      </c>
      <c r="T393">
        <v>1526</v>
      </c>
      <c r="U393">
        <v>1225</v>
      </c>
      <c r="V393">
        <v>1183</v>
      </c>
      <c r="W393">
        <v>996</v>
      </c>
      <c r="X393">
        <v>978</v>
      </c>
      <c r="Y393">
        <v>977</v>
      </c>
      <c r="Z393">
        <v>788</v>
      </c>
      <c r="AA393">
        <v>773</v>
      </c>
      <c r="AB393">
        <v>656</v>
      </c>
      <c r="AC393">
        <v>649</v>
      </c>
      <c r="AD393">
        <v>623</v>
      </c>
      <c r="AE393">
        <v>503</v>
      </c>
      <c r="AF393">
        <v>491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1199262</v>
      </c>
    </row>
    <row r="394" spans="1:51" hidden="1" x14ac:dyDescent="0.2">
      <c r="A394" t="s">
        <v>25</v>
      </c>
      <c r="C394">
        <v>392</v>
      </c>
      <c r="D394">
        <v>11</v>
      </c>
      <c r="E394" t="s">
        <v>474</v>
      </c>
      <c r="F394">
        <v>2014</v>
      </c>
      <c r="H394">
        <v>604449</v>
      </c>
      <c r="I394">
        <v>182476</v>
      </c>
      <c r="J394">
        <v>128737</v>
      </c>
      <c r="K394">
        <v>59116</v>
      </c>
      <c r="L394">
        <v>9727</v>
      </c>
      <c r="M394">
        <v>6915</v>
      </c>
      <c r="N394">
        <v>5690</v>
      </c>
      <c r="O394">
        <v>4448</v>
      </c>
      <c r="P394">
        <v>4117</v>
      </c>
      <c r="Q394">
        <v>2580</v>
      </c>
      <c r="R394">
        <v>1455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1009710</v>
      </c>
    </row>
    <row r="395" spans="1:51" hidden="1" x14ac:dyDescent="0.2">
      <c r="A395" t="s">
        <v>25</v>
      </c>
      <c r="C395">
        <v>393</v>
      </c>
      <c r="D395">
        <v>15</v>
      </c>
      <c r="E395" t="s">
        <v>475</v>
      </c>
      <c r="F395">
        <v>2014</v>
      </c>
      <c r="H395">
        <v>514622</v>
      </c>
      <c r="I395">
        <v>227886</v>
      </c>
      <c r="J395">
        <v>226284</v>
      </c>
      <c r="K395">
        <v>62674</v>
      </c>
      <c r="L395">
        <v>8978</v>
      </c>
      <c r="M395">
        <v>6183</v>
      </c>
      <c r="N395">
        <v>4659</v>
      </c>
      <c r="O395">
        <v>3376</v>
      </c>
      <c r="P395">
        <v>3076</v>
      </c>
      <c r="Q395">
        <v>1842</v>
      </c>
      <c r="R395">
        <v>1723</v>
      </c>
      <c r="S395">
        <v>978</v>
      </c>
      <c r="T395">
        <v>785</v>
      </c>
      <c r="U395">
        <v>665</v>
      </c>
      <c r="V395">
        <v>626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1064357</v>
      </c>
    </row>
    <row r="396" spans="1:51" hidden="1" x14ac:dyDescent="0.2">
      <c r="A396" t="s">
        <v>25</v>
      </c>
      <c r="C396">
        <v>394</v>
      </c>
      <c r="D396">
        <v>10</v>
      </c>
      <c r="E396" t="s">
        <v>476</v>
      </c>
      <c r="F396">
        <v>2014</v>
      </c>
      <c r="H396">
        <v>544277</v>
      </c>
      <c r="I396">
        <v>217891</v>
      </c>
      <c r="J396">
        <v>180891</v>
      </c>
      <c r="K396">
        <v>86109</v>
      </c>
      <c r="L396">
        <v>5669</v>
      </c>
      <c r="M396">
        <v>5043</v>
      </c>
      <c r="N396">
        <v>2847</v>
      </c>
      <c r="O396">
        <v>2778</v>
      </c>
      <c r="P396">
        <v>2169</v>
      </c>
      <c r="Q396">
        <v>1599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1049273</v>
      </c>
    </row>
    <row r="397" spans="1:51" hidden="1" x14ac:dyDescent="0.2">
      <c r="A397" t="s">
        <v>25</v>
      </c>
      <c r="C397">
        <v>395</v>
      </c>
      <c r="D397">
        <v>21</v>
      </c>
      <c r="E397" t="s">
        <v>477</v>
      </c>
      <c r="F397">
        <v>2014</v>
      </c>
      <c r="H397">
        <v>574633</v>
      </c>
      <c r="I397">
        <v>243890</v>
      </c>
      <c r="J397">
        <v>173572</v>
      </c>
      <c r="K397">
        <v>36673</v>
      </c>
      <c r="L397">
        <v>10158</v>
      </c>
      <c r="M397">
        <v>7858</v>
      </c>
      <c r="N397">
        <v>4795</v>
      </c>
      <c r="O397">
        <v>2847</v>
      </c>
      <c r="P397">
        <v>2715</v>
      </c>
      <c r="Q397">
        <v>2675</v>
      </c>
      <c r="R397">
        <v>2396</v>
      </c>
      <c r="S397">
        <v>2160</v>
      </c>
      <c r="T397">
        <v>2082</v>
      </c>
      <c r="U397">
        <v>1953</v>
      </c>
      <c r="V397">
        <v>1858</v>
      </c>
      <c r="W397">
        <v>1759</v>
      </c>
      <c r="X397">
        <v>1338</v>
      </c>
      <c r="Y397">
        <v>1066</v>
      </c>
      <c r="Z397">
        <v>1054</v>
      </c>
      <c r="AA397">
        <v>731</v>
      </c>
      <c r="AB397">
        <v>655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1076868</v>
      </c>
    </row>
    <row r="398" spans="1:51" hidden="1" x14ac:dyDescent="0.2">
      <c r="A398" t="s">
        <v>25</v>
      </c>
      <c r="C398">
        <v>396</v>
      </c>
      <c r="D398">
        <v>16</v>
      </c>
      <c r="E398" t="s">
        <v>478</v>
      </c>
      <c r="F398">
        <v>2014</v>
      </c>
      <c r="H398">
        <v>583716</v>
      </c>
      <c r="I398">
        <v>283453</v>
      </c>
      <c r="J398">
        <v>134708</v>
      </c>
      <c r="K398">
        <v>34834</v>
      </c>
      <c r="L398">
        <v>7804</v>
      </c>
      <c r="M398">
        <v>5191</v>
      </c>
      <c r="N398">
        <v>4243</v>
      </c>
      <c r="O398">
        <v>3657</v>
      </c>
      <c r="P398">
        <v>3646</v>
      </c>
      <c r="Q398">
        <v>2584</v>
      </c>
      <c r="R398">
        <v>2453</v>
      </c>
      <c r="S398">
        <v>1416</v>
      </c>
      <c r="T398">
        <v>771</v>
      </c>
      <c r="U398">
        <v>765</v>
      </c>
      <c r="V398">
        <v>602</v>
      </c>
      <c r="W398">
        <v>557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1070400</v>
      </c>
    </row>
    <row r="399" spans="1:51" hidden="1" x14ac:dyDescent="0.2">
      <c r="A399" t="s">
        <v>25</v>
      </c>
      <c r="C399">
        <v>397</v>
      </c>
      <c r="D399">
        <v>29</v>
      </c>
      <c r="E399" t="s">
        <v>479</v>
      </c>
      <c r="F399">
        <v>2014</v>
      </c>
      <c r="H399">
        <v>426589</v>
      </c>
      <c r="I399">
        <v>253483</v>
      </c>
      <c r="J399">
        <v>213397</v>
      </c>
      <c r="K399">
        <v>24185</v>
      </c>
      <c r="L399">
        <v>5223</v>
      </c>
      <c r="M399">
        <v>3809</v>
      </c>
      <c r="N399">
        <v>3512</v>
      </c>
      <c r="O399">
        <v>3184</v>
      </c>
      <c r="P399">
        <v>3117</v>
      </c>
      <c r="Q399">
        <v>3101</v>
      </c>
      <c r="R399">
        <v>2725</v>
      </c>
      <c r="S399">
        <v>2677</v>
      </c>
      <c r="T399">
        <v>2553</v>
      </c>
      <c r="U399">
        <v>2356</v>
      </c>
      <c r="V399">
        <v>2235</v>
      </c>
      <c r="W399">
        <v>2057</v>
      </c>
      <c r="X399">
        <v>2052</v>
      </c>
      <c r="Y399">
        <v>1657</v>
      </c>
      <c r="Z399">
        <v>1571</v>
      </c>
      <c r="AA399">
        <v>1529</v>
      </c>
      <c r="AB399">
        <v>1063</v>
      </c>
      <c r="AC399">
        <v>1006</v>
      </c>
      <c r="AD399">
        <v>951</v>
      </c>
      <c r="AE399">
        <v>872</v>
      </c>
      <c r="AF399">
        <v>691</v>
      </c>
      <c r="AG399">
        <v>650</v>
      </c>
      <c r="AH399">
        <v>643</v>
      </c>
      <c r="AI399">
        <v>583</v>
      </c>
      <c r="AJ399">
        <v>497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967968</v>
      </c>
    </row>
    <row r="400" spans="1:51" hidden="1" x14ac:dyDescent="0.2">
      <c r="A400" t="s">
        <v>25</v>
      </c>
      <c r="C400">
        <v>398</v>
      </c>
      <c r="D400">
        <v>16</v>
      </c>
      <c r="E400" t="s">
        <v>480</v>
      </c>
      <c r="F400">
        <v>2014</v>
      </c>
      <c r="H400">
        <v>534583</v>
      </c>
      <c r="I400">
        <v>420524</v>
      </c>
      <c r="J400">
        <v>118909</v>
      </c>
      <c r="K400">
        <v>7447</v>
      </c>
      <c r="L400">
        <v>4654</v>
      </c>
      <c r="M400">
        <v>3696</v>
      </c>
      <c r="N400">
        <v>3526</v>
      </c>
      <c r="O400">
        <v>2808</v>
      </c>
      <c r="P400">
        <v>2425</v>
      </c>
      <c r="Q400">
        <v>1470</v>
      </c>
      <c r="R400">
        <v>1248</v>
      </c>
      <c r="S400">
        <v>939</v>
      </c>
      <c r="T400">
        <v>753</v>
      </c>
      <c r="U400">
        <v>620</v>
      </c>
      <c r="V400">
        <v>506</v>
      </c>
      <c r="W400">
        <v>498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1104606</v>
      </c>
    </row>
    <row r="401" spans="1:51" hidden="1" x14ac:dyDescent="0.2">
      <c r="A401" t="s">
        <v>25</v>
      </c>
      <c r="C401">
        <v>399</v>
      </c>
      <c r="D401">
        <v>14</v>
      </c>
      <c r="E401" t="s">
        <v>481</v>
      </c>
      <c r="F401">
        <v>2014</v>
      </c>
      <c r="H401">
        <v>595918</v>
      </c>
      <c r="I401">
        <v>231252</v>
      </c>
      <c r="J401">
        <v>142833</v>
      </c>
      <c r="K401">
        <v>6323</v>
      </c>
      <c r="L401">
        <v>5645</v>
      </c>
      <c r="M401">
        <v>5588</v>
      </c>
      <c r="N401">
        <v>2542</v>
      </c>
      <c r="O401">
        <v>2279</v>
      </c>
      <c r="P401">
        <v>2095</v>
      </c>
      <c r="Q401">
        <v>1746</v>
      </c>
      <c r="R401">
        <v>916</v>
      </c>
      <c r="S401">
        <v>872</v>
      </c>
      <c r="T401">
        <v>695</v>
      </c>
      <c r="U401">
        <v>561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999265</v>
      </c>
    </row>
    <row r="402" spans="1:51" hidden="1" x14ac:dyDescent="0.2">
      <c r="A402" t="s">
        <v>25</v>
      </c>
      <c r="C402">
        <v>400</v>
      </c>
      <c r="D402">
        <v>12</v>
      </c>
      <c r="E402" t="s">
        <v>482</v>
      </c>
      <c r="F402">
        <v>2014</v>
      </c>
      <c r="H402">
        <v>474978</v>
      </c>
      <c r="I402">
        <v>273977</v>
      </c>
      <c r="J402">
        <v>137127</v>
      </c>
      <c r="K402">
        <v>12445</v>
      </c>
      <c r="L402">
        <v>7123</v>
      </c>
      <c r="M402">
        <v>6201</v>
      </c>
      <c r="N402">
        <v>5848</v>
      </c>
      <c r="O402">
        <v>2186</v>
      </c>
      <c r="P402">
        <v>2034</v>
      </c>
      <c r="Q402">
        <v>2008</v>
      </c>
      <c r="R402">
        <v>1333</v>
      </c>
      <c r="S402">
        <v>1021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926281</v>
      </c>
    </row>
    <row r="403" spans="1:51" hidden="1" x14ac:dyDescent="0.2">
      <c r="A403" t="s">
        <v>25</v>
      </c>
      <c r="C403">
        <v>401</v>
      </c>
      <c r="D403">
        <v>16</v>
      </c>
      <c r="E403" t="s">
        <v>483</v>
      </c>
      <c r="F403">
        <v>2014</v>
      </c>
      <c r="H403">
        <v>498378</v>
      </c>
      <c r="I403">
        <v>332031</v>
      </c>
      <c r="J403">
        <v>156973</v>
      </c>
      <c r="K403">
        <v>6286</v>
      </c>
      <c r="L403">
        <v>5748</v>
      </c>
      <c r="M403">
        <v>5651</v>
      </c>
      <c r="N403">
        <v>4195</v>
      </c>
      <c r="O403">
        <v>4083</v>
      </c>
      <c r="P403">
        <v>3421</v>
      </c>
      <c r="Q403">
        <v>2861</v>
      </c>
      <c r="R403">
        <v>2065</v>
      </c>
      <c r="S403">
        <v>1993</v>
      </c>
      <c r="T403">
        <v>1448</v>
      </c>
      <c r="U403">
        <v>860</v>
      </c>
      <c r="V403">
        <v>810</v>
      </c>
      <c r="W403">
        <v>791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1027594</v>
      </c>
    </row>
    <row r="404" spans="1:51" hidden="1" x14ac:dyDescent="0.2">
      <c r="A404" t="s">
        <v>25</v>
      </c>
      <c r="C404">
        <v>402</v>
      </c>
      <c r="D404">
        <v>14</v>
      </c>
      <c r="E404" t="s">
        <v>484</v>
      </c>
      <c r="F404">
        <v>2014</v>
      </c>
      <c r="H404">
        <v>409907</v>
      </c>
      <c r="I404">
        <v>271478</v>
      </c>
      <c r="J404">
        <v>190200</v>
      </c>
      <c r="K404">
        <v>93861</v>
      </c>
      <c r="L404">
        <v>10496</v>
      </c>
      <c r="M404">
        <v>4332</v>
      </c>
      <c r="N404">
        <v>3019</v>
      </c>
      <c r="O404">
        <v>2711</v>
      </c>
      <c r="P404">
        <v>2697</v>
      </c>
      <c r="Q404">
        <v>2304</v>
      </c>
      <c r="R404">
        <v>1440</v>
      </c>
      <c r="S404">
        <v>1189</v>
      </c>
      <c r="T404">
        <v>1152</v>
      </c>
      <c r="U404">
        <v>855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995641</v>
      </c>
    </row>
    <row r="405" spans="1:51" hidden="1" x14ac:dyDescent="0.2">
      <c r="A405" t="s">
        <v>25</v>
      </c>
      <c r="C405">
        <v>403</v>
      </c>
      <c r="D405">
        <v>15</v>
      </c>
      <c r="E405" t="s">
        <v>485</v>
      </c>
      <c r="F405">
        <v>2014</v>
      </c>
      <c r="H405">
        <v>518258</v>
      </c>
      <c r="I405">
        <v>277573</v>
      </c>
      <c r="J405">
        <v>106049</v>
      </c>
      <c r="K405">
        <v>84213</v>
      </c>
      <c r="L405">
        <v>7639</v>
      </c>
      <c r="M405">
        <v>6737</v>
      </c>
      <c r="N405">
        <v>3703</v>
      </c>
      <c r="O405">
        <v>3338</v>
      </c>
      <c r="P405">
        <v>2038</v>
      </c>
      <c r="Q405">
        <v>1885</v>
      </c>
      <c r="R405">
        <v>1806</v>
      </c>
      <c r="S405">
        <v>1567</v>
      </c>
      <c r="T405">
        <v>1402</v>
      </c>
      <c r="U405">
        <v>964</v>
      </c>
      <c r="V405">
        <v>719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1017891</v>
      </c>
    </row>
    <row r="406" spans="1:51" hidden="1" x14ac:dyDescent="0.2">
      <c r="A406" t="s">
        <v>25</v>
      </c>
      <c r="C406">
        <v>404</v>
      </c>
      <c r="D406">
        <v>13</v>
      </c>
      <c r="E406" t="s">
        <v>486</v>
      </c>
      <c r="F406">
        <v>2014</v>
      </c>
      <c r="H406">
        <v>546934</v>
      </c>
      <c r="I406">
        <v>239882</v>
      </c>
      <c r="J406">
        <v>196294</v>
      </c>
      <c r="K406">
        <v>29169</v>
      </c>
      <c r="L406">
        <v>11521</v>
      </c>
      <c r="M406">
        <v>6151</v>
      </c>
      <c r="N406">
        <v>5547</v>
      </c>
      <c r="O406">
        <v>3187</v>
      </c>
      <c r="P406">
        <v>3145</v>
      </c>
      <c r="Q406">
        <v>2670</v>
      </c>
      <c r="R406">
        <v>2617</v>
      </c>
      <c r="S406">
        <v>2170</v>
      </c>
      <c r="T406">
        <v>1260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1050547</v>
      </c>
    </row>
    <row r="407" spans="1:51" hidden="1" x14ac:dyDescent="0.2">
      <c r="A407" t="s">
        <v>25</v>
      </c>
      <c r="C407">
        <v>405</v>
      </c>
      <c r="D407">
        <v>14</v>
      </c>
      <c r="E407" t="s">
        <v>487</v>
      </c>
      <c r="F407">
        <v>2014</v>
      </c>
      <c r="H407">
        <v>525132</v>
      </c>
      <c r="I407">
        <v>289603</v>
      </c>
      <c r="J407">
        <v>242913</v>
      </c>
      <c r="K407">
        <v>27011</v>
      </c>
      <c r="L407">
        <v>12945</v>
      </c>
      <c r="M407">
        <v>9964</v>
      </c>
      <c r="N407">
        <v>7871</v>
      </c>
      <c r="O407">
        <v>3610</v>
      </c>
      <c r="P407">
        <v>2790</v>
      </c>
      <c r="Q407">
        <v>2522</v>
      </c>
      <c r="R407">
        <v>1613</v>
      </c>
      <c r="S407">
        <v>1384</v>
      </c>
      <c r="T407">
        <v>1378</v>
      </c>
      <c r="U407">
        <v>1105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1129841</v>
      </c>
    </row>
    <row r="408" spans="1:51" hidden="1" x14ac:dyDescent="0.2">
      <c r="A408" t="s">
        <v>25</v>
      </c>
      <c r="C408">
        <v>406</v>
      </c>
      <c r="D408">
        <v>12</v>
      </c>
      <c r="E408" t="s">
        <v>488</v>
      </c>
      <c r="F408">
        <v>2014</v>
      </c>
      <c r="H408">
        <v>398578</v>
      </c>
      <c r="I408">
        <v>288304</v>
      </c>
      <c r="J408">
        <v>183940</v>
      </c>
      <c r="K408">
        <v>160112</v>
      </c>
      <c r="L408">
        <v>16401</v>
      </c>
      <c r="M408">
        <v>12031</v>
      </c>
      <c r="N408">
        <v>3514</v>
      </c>
      <c r="O408">
        <v>3230</v>
      </c>
      <c r="P408">
        <v>3165</v>
      </c>
      <c r="Q408">
        <v>3124</v>
      </c>
      <c r="R408">
        <v>2861</v>
      </c>
      <c r="S408">
        <v>2608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1077868</v>
      </c>
    </row>
    <row r="409" spans="1:51" hidden="1" x14ac:dyDescent="0.2">
      <c r="A409" t="s">
        <v>25</v>
      </c>
      <c r="C409">
        <v>407</v>
      </c>
      <c r="D409">
        <v>16</v>
      </c>
      <c r="E409" t="s">
        <v>489</v>
      </c>
      <c r="F409">
        <v>2014</v>
      </c>
      <c r="H409">
        <v>360357</v>
      </c>
      <c r="I409">
        <v>234682</v>
      </c>
      <c r="J409">
        <v>234032</v>
      </c>
      <c r="K409">
        <v>170994</v>
      </c>
      <c r="L409">
        <v>12776</v>
      </c>
      <c r="M409">
        <v>9967</v>
      </c>
      <c r="N409">
        <v>8138</v>
      </c>
      <c r="O409">
        <v>6144</v>
      </c>
      <c r="P409">
        <v>4021</v>
      </c>
      <c r="Q409">
        <v>3745</v>
      </c>
      <c r="R409">
        <v>3491</v>
      </c>
      <c r="S409">
        <v>3333</v>
      </c>
      <c r="T409">
        <v>2788</v>
      </c>
      <c r="U409">
        <v>2144</v>
      </c>
      <c r="V409">
        <v>1929</v>
      </c>
      <c r="W409">
        <v>1730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1060271</v>
      </c>
    </row>
    <row r="410" spans="1:51" hidden="1" x14ac:dyDescent="0.2">
      <c r="A410" t="s">
        <v>25</v>
      </c>
      <c r="C410">
        <v>408</v>
      </c>
      <c r="D410">
        <v>17</v>
      </c>
      <c r="E410" t="s">
        <v>490</v>
      </c>
      <c r="F410">
        <v>2014</v>
      </c>
      <c r="H410">
        <v>417546</v>
      </c>
      <c r="I410">
        <v>366519</v>
      </c>
      <c r="J410">
        <v>156170</v>
      </c>
      <c r="K410">
        <v>29104</v>
      </c>
      <c r="L410">
        <v>12682</v>
      </c>
      <c r="M410">
        <v>8959</v>
      </c>
      <c r="N410">
        <v>8089</v>
      </c>
      <c r="O410">
        <v>6646</v>
      </c>
      <c r="P410">
        <v>3575</v>
      </c>
      <c r="Q410">
        <v>2550</v>
      </c>
      <c r="R410">
        <v>2504</v>
      </c>
      <c r="S410">
        <v>2373</v>
      </c>
      <c r="T410">
        <v>2319</v>
      </c>
      <c r="U410">
        <v>2205</v>
      </c>
      <c r="V410">
        <v>2195</v>
      </c>
      <c r="W410">
        <v>1992</v>
      </c>
      <c r="X410">
        <v>1544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1026972</v>
      </c>
    </row>
    <row r="411" spans="1:51" hidden="1" x14ac:dyDescent="0.2">
      <c r="A411" t="s">
        <v>25</v>
      </c>
      <c r="C411">
        <v>409</v>
      </c>
      <c r="D411">
        <v>16</v>
      </c>
      <c r="E411" t="s">
        <v>491</v>
      </c>
      <c r="F411">
        <v>2014</v>
      </c>
      <c r="H411">
        <v>360501</v>
      </c>
      <c r="I411">
        <v>279158</v>
      </c>
      <c r="J411">
        <v>276543</v>
      </c>
      <c r="K411">
        <v>23298</v>
      </c>
      <c r="L411">
        <v>7660</v>
      </c>
      <c r="M411">
        <v>4740</v>
      </c>
      <c r="N411">
        <v>4130</v>
      </c>
      <c r="O411">
        <v>4045</v>
      </c>
      <c r="P411">
        <v>3287</v>
      </c>
      <c r="Q411">
        <v>2003</v>
      </c>
      <c r="R411">
        <v>1669</v>
      </c>
      <c r="S411">
        <v>1576</v>
      </c>
      <c r="T411">
        <v>1326</v>
      </c>
      <c r="U411">
        <v>1296</v>
      </c>
      <c r="V411">
        <v>834</v>
      </c>
      <c r="W411">
        <v>830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972896</v>
      </c>
    </row>
    <row r="412" spans="1:51" hidden="1" x14ac:dyDescent="0.2">
      <c r="A412" t="s">
        <v>25</v>
      </c>
      <c r="C412">
        <v>410</v>
      </c>
      <c r="D412">
        <v>15</v>
      </c>
      <c r="E412" t="s">
        <v>492</v>
      </c>
      <c r="F412">
        <v>2014</v>
      </c>
      <c r="H412">
        <v>412575</v>
      </c>
      <c r="I412">
        <v>325212</v>
      </c>
      <c r="J412">
        <v>194759</v>
      </c>
      <c r="K412">
        <v>33075</v>
      </c>
      <c r="L412">
        <v>9633</v>
      </c>
      <c r="M412">
        <v>8635</v>
      </c>
      <c r="N412">
        <v>2970</v>
      </c>
      <c r="O412">
        <v>2773</v>
      </c>
      <c r="P412">
        <v>2234</v>
      </c>
      <c r="Q412">
        <v>1785</v>
      </c>
      <c r="R412">
        <v>1158</v>
      </c>
      <c r="S412">
        <v>1003</v>
      </c>
      <c r="T412">
        <v>951</v>
      </c>
      <c r="U412">
        <v>847</v>
      </c>
      <c r="V412">
        <v>704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998314</v>
      </c>
    </row>
    <row r="413" spans="1:51" hidden="1" x14ac:dyDescent="0.2">
      <c r="A413" t="s">
        <v>25</v>
      </c>
      <c r="C413">
        <v>411</v>
      </c>
      <c r="D413">
        <v>22</v>
      </c>
      <c r="E413" t="s">
        <v>493</v>
      </c>
      <c r="F413">
        <v>2014</v>
      </c>
      <c r="H413">
        <v>518834</v>
      </c>
      <c r="I413">
        <v>208661</v>
      </c>
      <c r="J413">
        <v>200176</v>
      </c>
      <c r="K413">
        <v>197098</v>
      </c>
      <c r="L413">
        <v>9618</v>
      </c>
      <c r="M413">
        <v>9277</v>
      </c>
      <c r="N413">
        <v>5871</v>
      </c>
      <c r="O413">
        <v>5128</v>
      </c>
      <c r="P413">
        <v>4626</v>
      </c>
      <c r="Q413">
        <v>4401</v>
      </c>
      <c r="R413">
        <v>4214</v>
      </c>
      <c r="S413">
        <v>4148</v>
      </c>
      <c r="T413">
        <v>3987</v>
      </c>
      <c r="U413">
        <v>3978</v>
      </c>
      <c r="V413">
        <v>3472</v>
      </c>
      <c r="W413">
        <v>3398</v>
      </c>
      <c r="X413">
        <v>3214</v>
      </c>
      <c r="Y413">
        <v>2771</v>
      </c>
      <c r="Z413">
        <v>2592</v>
      </c>
      <c r="AA413">
        <v>2440</v>
      </c>
      <c r="AB413">
        <v>1881</v>
      </c>
      <c r="AC413">
        <v>1818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1201603</v>
      </c>
    </row>
    <row r="414" spans="1:51" hidden="1" x14ac:dyDescent="0.2">
      <c r="A414" t="s">
        <v>25</v>
      </c>
      <c r="C414">
        <v>412</v>
      </c>
      <c r="D414">
        <v>19</v>
      </c>
      <c r="E414" t="s">
        <v>494</v>
      </c>
      <c r="F414">
        <v>2014</v>
      </c>
      <c r="H414">
        <v>455274</v>
      </c>
      <c r="I414">
        <v>309858</v>
      </c>
      <c r="J414">
        <v>242366</v>
      </c>
      <c r="K414">
        <v>52598</v>
      </c>
      <c r="L414">
        <v>10031</v>
      </c>
      <c r="M414">
        <v>7412</v>
      </c>
      <c r="N414">
        <v>6304</v>
      </c>
      <c r="O414">
        <v>5115</v>
      </c>
      <c r="P414">
        <v>4708</v>
      </c>
      <c r="Q414">
        <v>4280</v>
      </c>
      <c r="R414">
        <v>4214</v>
      </c>
      <c r="S414">
        <v>2425</v>
      </c>
      <c r="T414">
        <v>2225</v>
      </c>
      <c r="U414">
        <v>1826</v>
      </c>
      <c r="V414">
        <v>1782</v>
      </c>
      <c r="W414">
        <v>1632</v>
      </c>
      <c r="X414">
        <v>1617</v>
      </c>
      <c r="Y414">
        <v>1494</v>
      </c>
      <c r="Z414">
        <v>1427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1116588</v>
      </c>
    </row>
    <row r="415" spans="1:51" hidden="1" x14ac:dyDescent="0.2">
      <c r="A415" t="s">
        <v>25</v>
      </c>
      <c r="C415">
        <v>413</v>
      </c>
      <c r="D415">
        <v>30</v>
      </c>
      <c r="E415" t="s">
        <v>495</v>
      </c>
      <c r="F415">
        <v>2014</v>
      </c>
      <c r="H415">
        <v>561106</v>
      </c>
      <c r="I415">
        <v>288357</v>
      </c>
      <c r="J415">
        <v>64449</v>
      </c>
      <c r="K415">
        <v>56771</v>
      </c>
      <c r="L415">
        <v>41429</v>
      </c>
      <c r="M415">
        <v>4696</v>
      </c>
      <c r="N415">
        <v>1901</v>
      </c>
      <c r="O415">
        <v>1486</v>
      </c>
      <c r="P415">
        <v>1174</v>
      </c>
      <c r="Q415">
        <v>1100</v>
      </c>
      <c r="R415">
        <v>930</v>
      </c>
      <c r="S415">
        <v>851</v>
      </c>
      <c r="T415">
        <v>849</v>
      </c>
      <c r="U415">
        <v>743</v>
      </c>
      <c r="V415">
        <v>719</v>
      </c>
      <c r="W415">
        <v>694</v>
      </c>
      <c r="X415">
        <v>661</v>
      </c>
      <c r="Y415">
        <v>608</v>
      </c>
      <c r="Z415">
        <v>575</v>
      </c>
      <c r="AA415">
        <v>572</v>
      </c>
      <c r="AB415">
        <v>542</v>
      </c>
      <c r="AC415">
        <v>523</v>
      </c>
      <c r="AD415">
        <v>502</v>
      </c>
      <c r="AE415">
        <v>445</v>
      </c>
      <c r="AF415">
        <v>441</v>
      </c>
      <c r="AG415">
        <v>390</v>
      </c>
      <c r="AH415">
        <v>389</v>
      </c>
      <c r="AI415">
        <v>361</v>
      </c>
      <c r="AJ415">
        <v>337</v>
      </c>
      <c r="AK415">
        <v>282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1033883</v>
      </c>
    </row>
    <row r="416" spans="1:51" hidden="1" x14ac:dyDescent="0.2">
      <c r="A416" t="s">
        <v>25</v>
      </c>
      <c r="C416">
        <v>414</v>
      </c>
      <c r="D416">
        <v>18</v>
      </c>
      <c r="E416" t="s">
        <v>496</v>
      </c>
      <c r="F416">
        <v>2014</v>
      </c>
      <c r="H416">
        <v>526434</v>
      </c>
      <c r="I416">
        <v>173721</v>
      </c>
      <c r="J416">
        <v>63633</v>
      </c>
      <c r="K416">
        <v>10383</v>
      </c>
      <c r="L416">
        <v>7914</v>
      </c>
      <c r="M416">
        <v>6688</v>
      </c>
      <c r="N416">
        <v>5409</v>
      </c>
      <c r="O416">
        <v>5205</v>
      </c>
      <c r="P416">
        <v>4418</v>
      </c>
      <c r="Q416">
        <v>3538</v>
      </c>
      <c r="R416">
        <v>3507</v>
      </c>
      <c r="S416">
        <v>3330</v>
      </c>
      <c r="T416">
        <v>2645</v>
      </c>
      <c r="U416">
        <v>2108</v>
      </c>
      <c r="V416">
        <v>1661</v>
      </c>
      <c r="W416">
        <v>1586</v>
      </c>
      <c r="X416">
        <v>1493</v>
      </c>
      <c r="Y416">
        <v>1463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825136</v>
      </c>
    </row>
    <row r="417" spans="1:51" hidden="1" x14ac:dyDescent="0.2">
      <c r="A417" t="s">
        <v>25</v>
      </c>
      <c r="C417">
        <v>415</v>
      </c>
      <c r="D417">
        <v>35</v>
      </c>
      <c r="E417" t="s">
        <v>497</v>
      </c>
      <c r="F417">
        <v>2014</v>
      </c>
      <c r="H417">
        <v>408651</v>
      </c>
      <c r="I417">
        <v>300748</v>
      </c>
      <c r="J417">
        <v>57716</v>
      </c>
      <c r="K417">
        <v>25527</v>
      </c>
      <c r="L417">
        <v>6464</v>
      </c>
      <c r="M417">
        <v>6422</v>
      </c>
      <c r="N417">
        <v>5537</v>
      </c>
      <c r="O417">
        <v>5467</v>
      </c>
      <c r="P417">
        <v>4884</v>
      </c>
      <c r="Q417">
        <v>4457</v>
      </c>
      <c r="R417">
        <v>4109</v>
      </c>
      <c r="S417">
        <v>3305</v>
      </c>
      <c r="T417">
        <v>2845</v>
      </c>
      <c r="U417">
        <v>2726</v>
      </c>
      <c r="V417">
        <v>2546</v>
      </c>
      <c r="W417">
        <v>2454</v>
      </c>
      <c r="X417">
        <v>2384</v>
      </c>
      <c r="Y417">
        <v>2345</v>
      </c>
      <c r="Z417">
        <v>2289</v>
      </c>
      <c r="AA417">
        <v>2201</v>
      </c>
      <c r="AB417">
        <v>2189</v>
      </c>
      <c r="AC417">
        <v>1871</v>
      </c>
      <c r="AD417">
        <v>1784</v>
      </c>
      <c r="AE417">
        <v>1753</v>
      </c>
      <c r="AF417">
        <v>1617</v>
      </c>
      <c r="AG417">
        <v>1572</v>
      </c>
      <c r="AH417">
        <v>1387</v>
      </c>
      <c r="AI417">
        <v>1307</v>
      </c>
      <c r="AJ417">
        <v>1299</v>
      </c>
      <c r="AK417">
        <v>1255</v>
      </c>
      <c r="AL417">
        <v>1252</v>
      </c>
      <c r="AM417">
        <v>1140</v>
      </c>
      <c r="AN417">
        <v>1064</v>
      </c>
      <c r="AO417">
        <v>1043</v>
      </c>
      <c r="AP417">
        <v>1015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874625</v>
      </c>
    </row>
    <row r="418" spans="1:51" hidden="1" x14ac:dyDescent="0.2">
      <c r="A418" t="s">
        <v>25</v>
      </c>
      <c r="C418">
        <v>416</v>
      </c>
      <c r="D418">
        <v>16</v>
      </c>
      <c r="E418" t="s">
        <v>498</v>
      </c>
      <c r="F418">
        <v>2014</v>
      </c>
      <c r="H418">
        <v>410348</v>
      </c>
      <c r="I418">
        <v>231446</v>
      </c>
      <c r="J418">
        <v>228144</v>
      </c>
      <c r="K418">
        <v>41983</v>
      </c>
      <c r="L418">
        <v>14021</v>
      </c>
      <c r="M418">
        <v>5835</v>
      </c>
      <c r="N418">
        <v>5752</v>
      </c>
      <c r="O418">
        <v>5412</v>
      </c>
      <c r="P418">
        <v>4630</v>
      </c>
      <c r="Q418">
        <v>3804</v>
      </c>
      <c r="R418">
        <v>3381</v>
      </c>
      <c r="S418">
        <v>2737</v>
      </c>
      <c r="T418">
        <v>2363</v>
      </c>
      <c r="U418">
        <v>1887</v>
      </c>
      <c r="V418">
        <v>1637</v>
      </c>
      <c r="W418">
        <v>1601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964981</v>
      </c>
    </row>
    <row r="419" spans="1:51" hidden="1" x14ac:dyDescent="0.2">
      <c r="A419" t="s">
        <v>25</v>
      </c>
      <c r="C419">
        <v>417</v>
      </c>
      <c r="D419">
        <v>16</v>
      </c>
      <c r="E419" t="s">
        <v>499</v>
      </c>
      <c r="F419">
        <v>2014</v>
      </c>
      <c r="H419">
        <v>375789</v>
      </c>
      <c r="I419">
        <v>207567</v>
      </c>
      <c r="J419">
        <v>138620</v>
      </c>
      <c r="K419">
        <v>120107</v>
      </c>
      <c r="L419">
        <v>9983</v>
      </c>
      <c r="M419">
        <v>9098</v>
      </c>
      <c r="N419">
        <v>6309</v>
      </c>
      <c r="O419">
        <v>5618</v>
      </c>
      <c r="P419">
        <v>4207</v>
      </c>
      <c r="Q419">
        <v>3342</v>
      </c>
      <c r="R419">
        <v>3002</v>
      </c>
      <c r="S419">
        <v>2766</v>
      </c>
      <c r="T419">
        <v>2458</v>
      </c>
      <c r="U419">
        <v>2160</v>
      </c>
      <c r="V419">
        <v>1859</v>
      </c>
      <c r="W419">
        <v>1571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894456</v>
      </c>
    </row>
    <row r="420" spans="1:51" hidden="1" x14ac:dyDescent="0.2">
      <c r="A420" t="s">
        <v>25</v>
      </c>
      <c r="C420">
        <v>418</v>
      </c>
      <c r="D420">
        <v>23</v>
      </c>
      <c r="E420" t="s">
        <v>500</v>
      </c>
      <c r="F420">
        <v>2014</v>
      </c>
      <c r="H420">
        <v>406195</v>
      </c>
      <c r="I420">
        <v>255693</v>
      </c>
      <c r="J420">
        <v>114521</v>
      </c>
      <c r="K420">
        <v>95543</v>
      </c>
      <c r="L420">
        <v>58703</v>
      </c>
      <c r="M420">
        <v>4974</v>
      </c>
      <c r="N420">
        <v>4659</v>
      </c>
      <c r="O420">
        <v>2933</v>
      </c>
      <c r="P420">
        <v>2655</v>
      </c>
      <c r="Q420">
        <v>2420</v>
      </c>
      <c r="R420">
        <v>2254</v>
      </c>
      <c r="S420">
        <v>2140</v>
      </c>
      <c r="T420">
        <v>2107</v>
      </c>
      <c r="U420">
        <v>2066</v>
      </c>
      <c r="V420">
        <v>1986</v>
      </c>
      <c r="W420">
        <v>1864</v>
      </c>
      <c r="X420">
        <v>1857</v>
      </c>
      <c r="Y420">
        <v>1809</v>
      </c>
      <c r="Z420">
        <v>1605</v>
      </c>
      <c r="AA420">
        <v>1537</v>
      </c>
      <c r="AB420">
        <v>1202</v>
      </c>
      <c r="AC420">
        <v>1013</v>
      </c>
      <c r="AD420">
        <v>941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970677</v>
      </c>
    </row>
    <row r="421" spans="1:51" hidden="1" x14ac:dyDescent="0.2">
      <c r="A421" t="s">
        <v>25</v>
      </c>
      <c r="C421">
        <v>419</v>
      </c>
      <c r="D421">
        <v>11</v>
      </c>
      <c r="E421" t="s">
        <v>501</v>
      </c>
      <c r="F421">
        <v>2014</v>
      </c>
      <c r="H421">
        <v>439646</v>
      </c>
      <c r="I421">
        <v>266700</v>
      </c>
      <c r="J421">
        <v>192804</v>
      </c>
      <c r="K421">
        <v>13397</v>
      </c>
      <c r="L421">
        <v>6165</v>
      </c>
      <c r="M421">
        <v>5923</v>
      </c>
      <c r="N421">
        <v>4954</v>
      </c>
      <c r="O421">
        <v>3178</v>
      </c>
      <c r="P421">
        <v>2677</v>
      </c>
      <c r="Q421">
        <v>2372</v>
      </c>
      <c r="R421">
        <v>1788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939604</v>
      </c>
    </row>
    <row r="422" spans="1:51" hidden="1" x14ac:dyDescent="0.2">
      <c r="A422" t="s">
        <v>25</v>
      </c>
      <c r="C422">
        <v>420</v>
      </c>
      <c r="D422">
        <v>13</v>
      </c>
      <c r="E422" t="s">
        <v>502</v>
      </c>
      <c r="F422">
        <v>2014</v>
      </c>
      <c r="H422">
        <v>489164</v>
      </c>
      <c r="I422">
        <v>469257</v>
      </c>
      <c r="J422">
        <v>127785</v>
      </c>
      <c r="K422">
        <v>7380</v>
      </c>
      <c r="L422">
        <v>5723</v>
      </c>
      <c r="M422">
        <v>4826</v>
      </c>
      <c r="N422">
        <v>2891</v>
      </c>
      <c r="O422">
        <v>2567</v>
      </c>
      <c r="P422">
        <v>1282</v>
      </c>
      <c r="Q422">
        <v>964</v>
      </c>
      <c r="R422">
        <v>927</v>
      </c>
      <c r="S422">
        <v>888</v>
      </c>
      <c r="T422">
        <v>806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1114460</v>
      </c>
    </row>
    <row r="423" spans="1:51" hidden="1" x14ac:dyDescent="0.2">
      <c r="A423" t="s">
        <v>25</v>
      </c>
      <c r="C423">
        <v>421</v>
      </c>
      <c r="D423">
        <v>22</v>
      </c>
      <c r="E423" t="s">
        <v>503</v>
      </c>
      <c r="F423">
        <v>2014</v>
      </c>
      <c r="H423">
        <v>474712</v>
      </c>
      <c r="I423">
        <v>251766</v>
      </c>
      <c r="J423">
        <v>53218</v>
      </c>
      <c r="K423">
        <v>25723</v>
      </c>
      <c r="L423">
        <v>11925</v>
      </c>
      <c r="M423">
        <v>3005</v>
      </c>
      <c r="N423">
        <v>2350</v>
      </c>
      <c r="O423">
        <v>2278</v>
      </c>
      <c r="P423">
        <v>1701</v>
      </c>
      <c r="Q423">
        <v>1398</v>
      </c>
      <c r="R423">
        <v>1069</v>
      </c>
      <c r="S423">
        <v>929</v>
      </c>
      <c r="T423">
        <v>723</v>
      </c>
      <c r="U423">
        <v>683</v>
      </c>
      <c r="V423">
        <v>665</v>
      </c>
      <c r="W423">
        <v>580</v>
      </c>
      <c r="X423">
        <v>475</v>
      </c>
      <c r="Y423">
        <v>433</v>
      </c>
      <c r="Z423">
        <v>425</v>
      </c>
      <c r="AA423">
        <v>364</v>
      </c>
      <c r="AB423">
        <v>361</v>
      </c>
      <c r="AC423">
        <v>296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835079</v>
      </c>
    </row>
    <row r="424" spans="1:51" hidden="1" x14ac:dyDescent="0.2">
      <c r="A424" t="s">
        <v>25</v>
      </c>
      <c r="C424">
        <v>422</v>
      </c>
      <c r="D424">
        <v>19</v>
      </c>
      <c r="E424" t="s">
        <v>504</v>
      </c>
      <c r="F424">
        <v>2014</v>
      </c>
      <c r="H424">
        <v>481584</v>
      </c>
      <c r="I424">
        <v>202587</v>
      </c>
      <c r="J424">
        <v>147002</v>
      </c>
      <c r="K424">
        <v>96827</v>
      </c>
      <c r="L424">
        <v>7914</v>
      </c>
      <c r="M424">
        <v>5432</v>
      </c>
      <c r="N424">
        <v>5331</v>
      </c>
      <c r="O424">
        <v>4285</v>
      </c>
      <c r="P424">
        <v>3948</v>
      </c>
      <c r="Q424">
        <v>3403</v>
      </c>
      <c r="R424">
        <v>2754</v>
      </c>
      <c r="S424">
        <v>2259</v>
      </c>
      <c r="T424">
        <v>1890</v>
      </c>
      <c r="U424">
        <v>1853</v>
      </c>
      <c r="V424">
        <v>1350</v>
      </c>
      <c r="W424">
        <v>1037</v>
      </c>
      <c r="X424">
        <v>799</v>
      </c>
      <c r="Y424">
        <v>597</v>
      </c>
      <c r="Z424">
        <v>523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971375</v>
      </c>
    </row>
    <row r="425" spans="1:51" hidden="1" x14ac:dyDescent="0.2">
      <c r="A425" t="s">
        <v>25</v>
      </c>
      <c r="C425">
        <v>423</v>
      </c>
      <c r="D425">
        <v>12</v>
      </c>
      <c r="E425" t="s">
        <v>505</v>
      </c>
      <c r="F425">
        <v>2014</v>
      </c>
      <c r="H425">
        <v>548631</v>
      </c>
      <c r="I425">
        <v>261429</v>
      </c>
      <c r="J425">
        <v>180921</v>
      </c>
      <c r="K425">
        <v>82903</v>
      </c>
      <c r="L425">
        <v>10291</v>
      </c>
      <c r="M425">
        <v>4944</v>
      </c>
      <c r="N425">
        <v>4761</v>
      </c>
      <c r="O425">
        <v>4561</v>
      </c>
      <c r="P425">
        <v>3337</v>
      </c>
      <c r="Q425">
        <v>2816</v>
      </c>
      <c r="R425">
        <v>2525</v>
      </c>
      <c r="S425">
        <v>2047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1109166</v>
      </c>
    </row>
    <row r="426" spans="1:51" hidden="1" x14ac:dyDescent="0.2">
      <c r="A426" t="s">
        <v>25</v>
      </c>
      <c r="C426">
        <v>424</v>
      </c>
      <c r="D426">
        <v>16</v>
      </c>
      <c r="E426" t="s">
        <v>506</v>
      </c>
      <c r="F426">
        <v>2014</v>
      </c>
      <c r="H426">
        <v>575889</v>
      </c>
      <c r="I426">
        <v>385422</v>
      </c>
      <c r="J426">
        <v>213792</v>
      </c>
      <c r="K426">
        <v>84089</v>
      </c>
      <c r="L426">
        <v>13959</v>
      </c>
      <c r="M426">
        <v>11443</v>
      </c>
      <c r="N426">
        <v>8600</v>
      </c>
      <c r="O426">
        <v>5536</v>
      </c>
      <c r="P426">
        <v>4522</v>
      </c>
      <c r="Q426">
        <v>4215</v>
      </c>
      <c r="R426">
        <v>2727</v>
      </c>
      <c r="S426">
        <v>2605</v>
      </c>
      <c r="T426">
        <v>2121</v>
      </c>
      <c r="U426">
        <v>2036</v>
      </c>
      <c r="V426">
        <v>2029</v>
      </c>
      <c r="W426">
        <v>1819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1320804</v>
      </c>
    </row>
    <row r="427" spans="1:51" hidden="1" x14ac:dyDescent="0.2">
      <c r="A427" t="s">
        <v>25</v>
      </c>
      <c r="C427">
        <v>425</v>
      </c>
      <c r="D427">
        <v>16</v>
      </c>
      <c r="E427" t="s">
        <v>225</v>
      </c>
      <c r="F427">
        <v>2014</v>
      </c>
      <c r="H427">
        <v>453884</v>
      </c>
      <c r="I427">
        <v>187096</v>
      </c>
      <c r="J427">
        <v>176356</v>
      </c>
      <c r="K427">
        <v>78229</v>
      </c>
      <c r="L427">
        <v>23137</v>
      </c>
      <c r="M427">
        <v>10449</v>
      </c>
      <c r="N427">
        <v>9663</v>
      </c>
      <c r="O427">
        <v>6297</v>
      </c>
      <c r="P427">
        <v>5749</v>
      </c>
      <c r="Q427">
        <v>4860</v>
      </c>
      <c r="R427">
        <v>4314</v>
      </c>
      <c r="S427">
        <v>4079</v>
      </c>
      <c r="T427">
        <v>3435</v>
      </c>
      <c r="U427">
        <v>2981</v>
      </c>
      <c r="V427">
        <v>2955</v>
      </c>
      <c r="W427">
        <v>1756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975240</v>
      </c>
    </row>
    <row r="428" spans="1:51" hidden="1" x14ac:dyDescent="0.2">
      <c r="A428" t="s">
        <v>25</v>
      </c>
      <c r="C428">
        <v>426</v>
      </c>
      <c r="D428">
        <v>14</v>
      </c>
      <c r="E428" t="s">
        <v>507</v>
      </c>
      <c r="F428">
        <v>2014</v>
      </c>
      <c r="H428">
        <v>342066</v>
      </c>
      <c r="I428">
        <v>226278</v>
      </c>
      <c r="J428">
        <v>189730</v>
      </c>
      <c r="K428">
        <v>36650</v>
      </c>
      <c r="L428">
        <v>15156</v>
      </c>
      <c r="M428">
        <v>13824</v>
      </c>
      <c r="N428">
        <v>7140</v>
      </c>
      <c r="O428">
        <v>6439</v>
      </c>
      <c r="P428">
        <v>5115</v>
      </c>
      <c r="Q428">
        <v>4755</v>
      </c>
      <c r="R428">
        <v>3201</v>
      </c>
      <c r="S428">
        <v>2931</v>
      </c>
      <c r="T428">
        <v>2605</v>
      </c>
      <c r="U428">
        <v>2436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858326</v>
      </c>
    </row>
    <row r="429" spans="1:51" hidden="1" x14ac:dyDescent="0.2">
      <c r="A429" t="s">
        <v>25</v>
      </c>
      <c r="C429">
        <v>427</v>
      </c>
      <c r="D429">
        <v>15</v>
      </c>
      <c r="E429" t="s">
        <v>508</v>
      </c>
      <c r="F429">
        <v>2014</v>
      </c>
      <c r="H429">
        <v>485994</v>
      </c>
      <c r="I429">
        <v>298788</v>
      </c>
      <c r="J429">
        <v>179724</v>
      </c>
      <c r="K429">
        <v>46588</v>
      </c>
      <c r="L429">
        <v>11607</v>
      </c>
      <c r="M429">
        <v>7578</v>
      </c>
      <c r="N429">
        <v>5838</v>
      </c>
      <c r="O429">
        <v>5448</v>
      </c>
      <c r="P429">
        <v>3029</v>
      </c>
      <c r="Q429">
        <v>2498</v>
      </c>
      <c r="R429">
        <v>2454</v>
      </c>
      <c r="S429">
        <v>2173</v>
      </c>
      <c r="T429">
        <v>1967</v>
      </c>
      <c r="U429">
        <v>1657</v>
      </c>
      <c r="V429">
        <v>1345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1056688</v>
      </c>
    </row>
    <row r="430" spans="1:51" hidden="1" x14ac:dyDescent="0.2">
      <c r="A430" t="s">
        <v>25</v>
      </c>
      <c r="C430">
        <v>428</v>
      </c>
      <c r="D430">
        <v>12</v>
      </c>
      <c r="E430" t="s">
        <v>509</v>
      </c>
      <c r="F430">
        <v>2014</v>
      </c>
      <c r="H430">
        <v>331724</v>
      </c>
      <c r="I430">
        <v>288824</v>
      </c>
      <c r="J430">
        <v>201322</v>
      </c>
      <c r="K430">
        <v>31905</v>
      </c>
      <c r="L430">
        <v>15169</v>
      </c>
      <c r="M430">
        <v>9182</v>
      </c>
      <c r="N430">
        <v>7350</v>
      </c>
      <c r="O430">
        <v>6556</v>
      </c>
      <c r="P430">
        <v>6389</v>
      </c>
      <c r="Q430">
        <v>4958</v>
      </c>
      <c r="R430">
        <v>3693</v>
      </c>
      <c r="S430">
        <v>3342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910414</v>
      </c>
    </row>
    <row r="431" spans="1:51" hidden="1" x14ac:dyDescent="0.2">
      <c r="A431" t="s">
        <v>25</v>
      </c>
      <c r="C431">
        <v>429</v>
      </c>
      <c r="D431">
        <v>16</v>
      </c>
      <c r="E431" t="s">
        <v>510</v>
      </c>
      <c r="F431">
        <v>2014</v>
      </c>
      <c r="H431">
        <v>503564</v>
      </c>
      <c r="I431">
        <v>195256</v>
      </c>
      <c r="J431">
        <v>163710</v>
      </c>
      <c r="K431">
        <v>58127</v>
      </c>
      <c r="L431">
        <v>8424</v>
      </c>
      <c r="M431">
        <v>7384</v>
      </c>
      <c r="N431">
        <v>5652</v>
      </c>
      <c r="O431">
        <v>3392</v>
      </c>
      <c r="P431">
        <v>3114</v>
      </c>
      <c r="Q431">
        <v>2706</v>
      </c>
      <c r="R431">
        <v>2187</v>
      </c>
      <c r="S431">
        <v>1585</v>
      </c>
      <c r="T431">
        <v>1521</v>
      </c>
      <c r="U431">
        <v>1306</v>
      </c>
      <c r="V431">
        <v>1302</v>
      </c>
      <c r="W431">
        <v>1111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960341</v>
      </c>
    </row>
    <row r="432" spans="1:51" hidden="1" x14ac:dyDescent="0.2">
      <c r="A432" t="s">
        <v>25</v>
      </c>
      <c r="C432">
        <v>430</v>
      </c>
      <c r="D432">
        <v>24</v>
      </c>
      <c r="E432" t="s">
        <v>511</v>
      </c>
      <c r="F432">
        <v>2014</v>
      </c>
      <c r="H432">
        <v>313772</v>
      </c>
      <c r="I432">
        <v>251763</v>
      </c>
      <c r="J432">
        <v>162073</v>
      </c>
      <c r="K432">
        <v>102453</v>
      </c>
      <c r="L432">
        <v>8321</v>
      </c>
      <c r="M432">
        <v>6439</v>
      </c>
      <c r="N432">
        <v>4426</v>
      </c>
      <c r="O432">
        <v>4324</v>
      </c>
      <c r="P432">
        <v>4190</v>
      </c>
      <c r="Q432">
        <v>3744</v>
      </c>
      <c r="R432">
        <v>3624</v>
      </c>
      <c r="S432">
        <v>3388</v>
      </c>
      <c r="T432">
        <v>3315</v>
      </c>
      <c r="U432">
        <v>2593</v>
      </c>
      <c r="V432">
        <v>2332</v>
      </c>
      <c r="W432">
        <v>2181</v>
      </c>
      <c r="X432">
        <v>2115</v>
      </c>
      <c r="Y432">
        <v>1928</v>
      </c>
      <c r="Z432">
        <v>1730</v>
      </c>
      <c r="AA432">
        <v>1711</v>
      </c>
      <c r="AB432">
        <v>1438</v>
      </c>
      <c r="AC432">
        <v>1293</v>
      </c>
      <c r="AD432">
        <v>1221</v>
      </c>
      <c r="AE432">
        <v>1212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891586</v>
      </c>
    </row>
    <row r="433" spans="1:51" hidden="1" x14ac:dyDescent="0.2">
      <c r="A433" t="s">
        <v>25</v>
      </c>
      <c r="C433">
        <v>431</v>
      </c>
      <c r="D433">
        <v>15</v>
      </c>
      <c r="E433" t="s">
        <v>26</v>
      </c>
      <c r="F433">
        <v>2014</v>
      </c>
      <c r="H433">
        <v>454214</v>
      </c>
      <c r="I433">
        <v>242336</v>
      </c>
      <c r="J433">
        <v>167150</v>
      </c>
      <c r="K433">
        <v>159284</v>
      </c>
      <c r="L433">
        <v>8726</v>
      </c>
      <c r="M433">
        <v>7980</v>
      </c>
      <c r="N433">
        <v>7136</v>
      </c>
      <c r="O433">
        <v>3836</v>
      </c>
      <c r="P433">
        <v>3261</v>
      </c>
      <c r="Q433">
        <v>3126</v>
      </c>
      <c r="R433">
        <v>3038</v>
      </c>
      <c r="S433">
        <v>2560</v>
      </c>
      <c r="T433">
        <v>2171</v>
      </c>
      <c r="U433">
        <v>2035</v>
      </c>
      <c r="V433">
        <v>1315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1068168</v>
      </c>
    </row>
    <row r="434" spans="1:51" hidden="1" x14ac:dyDescent="0.2">
      <c r="A434" t="s">
        <v>25</v>
      </c>
      <c r="C434">
        <v>432</v>
      </c>
      <c r="D434">
        <v>12</v>
      </c>
      <c r="E434" t="s">
        <v>512</v>
      </c>
      <c r="F434">
        <v>2014</v>
      </c>
      <c r="H434">
        <v>491761</v>
      </c>
      <c r="I434">
        <v>208986</v>
      </c>
      <c r="J434">
        <v>141827</v>
      </c>
      <c r="K434">
        <v>129917</v>
      </c>
      <c r="L434">
        <v>11537</v>
      </c>
      <c r="M434">
        <v>9055</v>
      </c>
      <c r="N434">
        <v>6308</v>
      </c>
      <c r="O434">
        <v>5963</v>
      </c>
      <c r="P434">
        <v>5702</v>
      </c>
      <c r="Q434">
        <v>4795</v>
      </c>
      <c r="R434">
        <v>4187</v>
      </c>
      <c r="S434">
        <v>2678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1022716</v>
      </c>
    </row>
    <row r="435" spans="1:51" hidden="1" x14ac:dyDescent="0.2">
      <c r="A435" t="s">
        <v>25</v>
      </c>
      <c r="C435">
        <v>433</v>
      </c>
      <c r="D435">
        <v>15</v>
      </c>
      <c r="E435" t="s">
        <v>513</v>
      </c>
      <c r="F435">
        <v>2014</v>
      </c>
      <c r="H435">
        <v>432104</v>
      </c>
      <c r="I435">
        <v>292675</v>
      </c>
      <c r="J435">
        <v>234467</v>
      </c>
      <c r="K435">
        <v>22775</v>
      </c>
      <c r="L435">
        <v>7694</v>
      </c>
      <c r="M435">
        <v>7422</v>
      </c>
      <c r="N435">
        <v>7040</v>
      </c>
      <c r="O435">
        <v>6896</v>
      </c>
      <c r="P435">
        <v>5792</v>
      </c>
      <c r="Q435">
        <v>4707</v>
      </c>
      <c r="R435">
        <v>4138</v>
      </c>
      <c r="S435">
        <v>3025</v>
      </c>
      <c r="T435">
        <v>2590</v>
      </c>
      <c r="U435">
        <v>1942</v>
      </c>
      <c r="V435">
        <v>1137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1034404</v>
      </c>
    </row>
    <row r="436" spans="1:51" hidden="1" x14ac:dyDescent="0.2">
      <c r="A436" t="s">
        <v>25</v>
      </c>
      <c r="C436">
        <v>434</v>
      </c>
      <c r="D436">
        <v>11</v>
      </c>
      <c r="E436" t="s">
        <v>514</v>
      </c>
      <c r="F436">
        <v>2014</v>
      </c>
      <c r="H436">
        <v>432392</v>
      </c>
      <c r="I436">
        <v>336747</v>
      </c>
      <c r="J436">
        <v>96904</v>
      </c>
      <c r="K436">
        <v>24421</v>
      </c>
      <c r="L436">
        <v>13498</v>
      </c>
      <c r="M436">
        <v>8319</v>
      </c>
      <c r="N436">
        <v>5826</v>
      </c>
      <c r="O436">
        <v>5735</v>
      </c>
      <c r="P436">
        <v>4026</v>
      </c>
      <c r="Q436">
        <v>3719</v>
      </c>
      <c r="R436">
        <v>2676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934263</v>
      </c>
    </row>
    <row r="437" spans="1:51" hidden="1" x14ac:dyDescent="0.2">
      <c r="A437" t="s">
        <v>25</v>
      </c>
      <c r="C437">
        <v>435</v>
      </c>
      <c r="D437">
        <v>15</v>
      </c>
      <c r="E437" t="s">
        <v>515</v>
      </c>
      <c r="F437">
        <v>2014</v>
      </c>
      <c r="H437">
        <v>381500</v>
      </c>
      <c r="I437">
        <v>303282</v>
      </c>
      <c r="J437">
        <v>146726</v>
      </c>
      <c r="K437">
        <v>57401</v>
      </c>
      <c r="L437">
        <v>11853</v>
      </c>
      <c r="M437">
        <v>11366</v>
      </c>
      <c r="N437">
        <v>5849</v>
      </c>
      <c r="O437">
        <v>5245</v>
      </c>
      <c r="P437">
        <v>3905</v>
      </c>
      <c r="Q437">
        <v>3867</v>
      </c>
      <c r="R437">
        <v>3710</v>
      </c>
      <c r="S437">
        <v>3246</v>
      </c>
      <c r="T437">
        <v>2119</v>
      </c>
      <c r="U437">
        <v>1822</v>
      </c>
      <c r="V437">
        <v>1466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943357</v>
      </c>
    </row>
    <row r="438" spans="1:51" hidden="1" x14ac:dyDescent="0.2">
      <c r="A438" t="s">
        <v>25</v>
      </c>
      <c r="C438">
        <v>436</v>
      </c>
      <c r="D438">
        <v>15</v>
      </c>
      <c r="E438" t="s">
        <v>516</v>
      </c>
      <c r="F438">
        <v>2014</v>
      </c>
      <c r="H438">
        <v>345964</v>
      </c>
      <c r="I438">
        <v>260051</v>
      </c>
      <c r="J438">
        <v>194890</v>
      </c>
      <c r="K438">
        <v>101817</v>
      </c>
      <c r="L438">
        <v>20006</v>
      </c>
      <c r="M438">
        <v>14587</v>
      </c>
      <c r="N438">
        <v>10083</v>
      </c>
      <c r="O438">
        <v>6278</v>
      </c>
      <c r="P438">
        <v>5542</v>
      </c>
      <c r="Q438">
        <v>4489</v>
      </c>
      <c r="R438">
        <v>3730</v>
      </c>
      <c r="S438">
        <v>3474</v>
      </c>
      <c r="T438">
        <v>3188</v>
      </c>
      <c r="U438">
        <v>2961</v>
      </c>
      <c r="V438">
        <v>2578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979638</v>
      </c>
    </row>
    <row r="439" spans="1:51" hidden="1" x14ac:dyDescent="0.2">
      <c r="A439" t="s">
        <v>25</v>
      </c>
      <c r="C439">
        <v>437</v>
      </c>
      <c r="D439">
        <v>16</v>
      </c>
      <c r="E439" t="s">
        <v>517</v>
      </c>
      <c r="F439">
        <v>2014</v>
      </c>
      <c r="H439">
        <v>359639</v>
      </c>
      <c r="I439">
        <v>199227</v>
      </c>
      <c r="J439">
        <v>116178</v>
      </c>
      <c r="K439">
        <v>102254</v>
      </c>
      <c r="L439">
        <v>42744</v>
      </c>
      <c r="M439">
        <v>18450</v>
      </c>
      <c r="N439">
        <v>7988</v>
      </c>
      <c r="O439">
        <v>5374</v>
      </c>
      <c r="P439">
        <v>4748</v>
      </c>
      <c r="Q439">
        <v>3358</v>
      </c>
      <c r="R439">
        <v>3200</v>
      </c>
      <c r="S439">
        <v>2555</v>
      </c>
      <c r="T439">
        <v>2395</v>
      </c>
      <c r="U439">
        <v>2199</v>
      </c>
      <c r="V439">
        <v>1900</v>
      </c>
      <c r="W439">
        <v>1519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873728</v>
      </c>
    </row>
    <row r="440" spans="1:51" hidden="1" x14ac:dyDescent="0.2">
      <c r="A440" t="s">
        <v>25</v>
      </c>
      <c r="C440">
        <v>438</v>
      </c>
      <c r="D440">
        <v>18</v>
      </c>
      <c r="E440" t="s">
        <v>518</v>
      </c>
      <c r="F440">
        <v>2014</v>
      </c>
      <c r="H440">
        <v>298845</v>
      </c>
      <c r="I440">
        <v>195257</v>
      </c>
      <c r="J440">
        <v>174778</v>
      </c>
      <c r="K440">
        <v>99242</v>
      </c>
      <c r="L440">
        <v>88117</v>
      </c>
      <c r="M440">
        <v>10952</v>
      </c>
      <c r="N440">
        <v>9529</v>
      </c>
      <c r="O440">
        <v>9371</v>
      </c>
      <c r="P440">
        <v>7762</v>
      </c>
      <c r="Q440">
        <v>7159</v>
      </c>
      <c r="R440">
        <v>6776</v>
      </c>
      <c r="S440">
        <v>5521</v>
      </c>
      <c r="T440">
        <v>5123</v>
      </c>
      <c r="U440">
        <v>4939</v>
      </c>
      <c r="V440">
        <v>3238</v>
      </c>
      <c r="W440">
        <v>3174</v>
      </c>
      <c r="X440">
        <v>2709</v>
      </c>
      <c r="Y440">
        <v>2535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935027</v>
      </c>
    </row>
    <row r="441" spans="1:51" hidden="1" x14ac:dyDescent="0.2">
      <c r="A441" t="s">
        <v>25</v>
      </c>
      <c r="C441">
        <v>439</v>
      </c>
      <c r="D441">
        <v>14</v>
      </c>
      <c r="E441" t="s">
        <v>519</v>
      </c>
      <c r="F441">
        <v>2014</v>
      </c>
      <c r="H441">
        <v>357680</v>
      </c>
      <c r="I441">
        <v>324118</v>
      </c>
      <c r="J441">
        <v>283747</v>
      </c>
      <c r="K441">
        <v>27673</v>
      </c>
      <c r="L441">
        <v>10168</v>
      </c>
      <c r="M441">
        <v>8407</v>
      </c>
      <c r="N441">
        <v>8172</v>
      </c>
      <c r="O441">
        <v>7063</v>
      </c>
      <c r="P441">
        <v>4823</v>
      </c>
      <c r="Q441">
        <v>4521</v>
      </c>
      <c r="R441">
        <v>3587</v>
      </c>
      <c r="S441">
        <v>3532</v>
      </c>
      <c r="T441">
        <v>2803</v>
      </c>
      <c r="U441">
        <v>2240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1048534</v>
      </c>
    </row>
    <row r="442" spans="1:51" hidden="1" x14ac:dyDescent="0.2">
      <c r="A442" t="s">
        <v>25</v>
      </c>
      <c r="C442">
        <v>440</v>
      </c>
      <c r="D442">
        <v>26</v>
      </c>
      <c r="E442" t="s">
        <v>520</v>
      </c>
      <c r="F442">
        <v>2014</v>
      </c>
      <c r="H442">
        <v>348892</v>
      </c>
      <c r="I442">
        <v>250914</v>
      </c>
      <c r="J442">
        <v>240169</v>
      </c>
      <c r="K442">
        <v>69193</v>
      </c>
      <c r="L442">
        <v>22029</v>
      </c>
      <c r="M442">
        <v>11046</v>
      </c>
      <c r="N442">
        <v>8993</v>
      </c>
      <c r="O442">
        <v>7458</v>
      </c>
      <c r="P442">
        <v>5866</v>
      </c>
      <c r="Q442">
        <v>5036</v>
      </c>
      <c r="R442">
        <v>4747</v>
      </c>
      <c r="S442">
        <v>4082</v>
      </c>
      <c r="T442">
        <v>3900</v>
      </c>
      <c r="U442">
        <v>3618</v>
      </c>
      <c r="V442">
        <v>3181</v>
      </c>
      <c r="W442">
        <v>3061</v>
      </c>
      <c r="X442">
        <v>2796</v>
      </c>
      <c r="Y442">
        <v>2439</v>
      </c>
      <c r="Z442">
        <v>2278</v>
      </c>
      <c r="AA442">
        <v>2164</v>
      </c>
      <c r="AB442">
        <v>2155</v>
      </c>
      <c r="AC442">
        <v>1884</v>
      </c>
      <c r="AD442">
        <v>1721</v>
      </c>
      <c r="AE442">
        <v>1477</v>
      </c>
      <c r="AF442">
        <v>1335</v>
      </c>
      <c r="AG442">
        <v>1215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1011649</v>
      </c>
    </row>
    <row r="443" spans="1:51" hidden="1" x14ac:dyDescent="0.2">
      <c r="A443" t="s">
        <v>25</v>
      </c>
      <c r="C443">
        <v>441</v>
      </c>
      <c r="D443">
        <v>24</v>
      </c>
      <c r="E443" t="s">
        <v>164</v>
      </c>
      <c r="F443">
        <v>2014</v>
      </c>
      <c r="H443">
        <v>471542</v>
      </c>
      <c r="I443">
        <v>231084</v>
      </c>
      <c r="J443">
        <v>213974</v>
      </c>
      <c r="K443">
        <v>57193</v>
      </c>
      <c r="L443">
        <v>15517</v>
      </c>
      <c r="M443">
        <v>6131</v>
      </c>
      <c r="N443">
        <v>5422</v>
      </c>
      <c r="O443">
        <v>5195</v>
      </c>
      <c r="P443">
        <v>5001</v>
      </c>
      <c r="Q443">
        <v>4545</v>
      </c>
      <c r="R443">
        <v>4216</v>
      </c>
      <c r="S443">
        <v>4210</v>
      </c>
      <c r="T443">
        <v>4079</v>
      </c>
      <c r="U443">
        <v>3752</v>
      </c>
      <c r="V443">
        <v>3582</v>
      </c>
      <c r="W443">
        <v>3455</v>
      </c>
      <c r="X443">
        <v>3196</v>
      </c>
      <c r="Y443">
        <v>2545</v>
      </c>
      <c r="Z443">
        <v>2339</v>
      </c>
      <c r="AA443">
        <v>2149</v>
      </c>
      <c r="AB443">
        <v>1961</v>
      </c>
      <c r="AC443">
        <v>1828</v>
      </c>
      <c r="AD443">
        <v>1671</v>
      </c>
      <c r="AE443">
        <v>1491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1056078</v>
      </c>
    </row>
    <row r="444" spans="1:51" hidden="1" x14ac:dyDescent="0.2">
      <c r="A444" t="s">
        <v>25</v>
      </c>
      <c r="C444">
        <v>442</v>
      </c>
      <c r="D444">
        <v>16</v>
      </c>
      <c r="E444" t="s">
        <v>521</v>
      </c>
      <c r="F444">
        <v>2014</v>
      </c>
      <c r="H444">
        <v>539127</v>
      </c>
      <c r="I444">
        <v>226344</v>
      </c>
      <c r="J444">
        <v>176412</v>
      </c>
      <c r="K444">
        <v>45719</v>
      </c>
      <c r="L444">
        <v>11873</v>
      </c>
      <c r="M444">
        <v>8153</v>
      </c>
      <c r="N444">
        <v>5339</v>
      </c>
      <c r="O444">
        <v>5046</v>
      </c>
      <c r="P444">
        <v>4387</v>
      </c>
      <c r="Q444">
        <v>4194</v>
      </c>
      <c r="R444">
        <v>4024</v>
      </c>
      <c r="S444">
        <v>2398</v>
      </c>
      <c r="T444">
        <v>2123</v>
      </c>
      <c r="U444">
        <v>2016</v>
      </c>
      <c r="V444">
        <v>1873</v>
      </c>
      <c r="W444">
        <v>1171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1040199</v>
      </c>
    </row>
    <row r="445" spans="1:51" hidden="1" x14ac:dyDescent="0.2">
      <c r="A445" t="s">
        <v>25</v>
      </c>
      <c r="C445">
        <v>443</v>
      </c>
      <c r="D445">
        <v>15</v>
      </c>
      <c r="E445" t="s">
        <v>522</v>
      </c>
      <c r="F445">
        <v>2014</v>
      </c>
      <c r="H445">
        <v>370051</v>
      </c>
      <c r="I445">
        <v>284511</v>
      </c>
      <c r="J445">
        <v>132881</v>
      </c>
      <c r="K445">
        <v>111256</v>
      </c>
      <c r="L445">
        <v>10102</v>
      </c>
      <c r="M445">
        <v>9024</v>
      </c>
      <c r="N445">
        <v>5485</v>
      </c>
      <c r="O445">
        <v>4806</v>
      </c>
      <c r="P445">
        <v>4270</v>
      </c>
      <c r="Q445">
        <v>3843</v>
      </c>
      <c r="R445">
        <v>3802</v>
      </c>
      <c r="S445">
        <v>3630</v>
      </c>
      <c r="T445">
        <v>2677</v>
      </c>
      <c r="U445">
        <v>2145</v>
      </c>
      <c r="V445">
        <v>1963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950446</v>
      </c>
    </row>
    <row r="446" spans="1:51" hidden="1" x14ac:dyDescent="0.2">
      <c r="A446" t="s">
        <v>25</v>
      </c>
      <c r="C446">
        <v>444</v>
      </c>
      <c r="D446">
        <v>16</v>
      </c>
      <c r="E446" t="s">
        <v>523</v>
      </c>
      <c r="F446">
        <v>2014</v>
      </c>
      <c r="H446">
        <v>496500</v>
      </c>
      <c r="I446">
        <v>231114</v>
      </c>
      <c r="J446">
        <v>150852</v>
      </c>
      <c r="K446">
        <v>37752</v>
      </c>
      <c r="L446">
        <v>12405</v>
      </c>
      <c r="M446">
        <v>6408</v>
      </c>
      <c r="N446">
        <v>5763</v>
      </c>
      <c r="O446">
        <v>5406</v>
      </c>
      <c r="P446">
        <v>5130</v>
      </c>
      <c r="Q446">
        <v>4952</v>
      </c>
      <c r="R446">
        <v>4343</v>
      </c>
      <c r="S446">
        <v>4124</v>
      </c>
      <c r="T446">
        <v>1916</v>
      </c>
      <c r="U446">
        <v>1906</v>
      </c>
      <c r="V446">
        <v>1833</v>
      </c>
      <c r="W446">
        <v>1153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971557</v>
      </c>
    </row>
    <row r="447" spans="1:51" hidden="1" x14ac:dyDescent="0.2">
      <c r="A447" t="s">
        <v>25</v>
      </c>
      <c r="C447">
        <v>445</v>
      </c>
      <c r="D447">
        <v>13</v>
      </c>
      <c r="E447" t="s">
        <v>524</v>
      </c>
      <c r="F447">
        <v>2014</v>
      </c>
      <c r="H447">
        <v>417959</v>
      </c>
      <c r="I447">
        <v>228443</v>
      </c>
      <c r="J447">
        <v>133675</v>
      </c>
      <c r="K447">
        <v>50675</v>
      </c>
      <c r="L447">
        <v>13495</v>
      </c>
      <c r="M447">
        <v>9769</v>
      </c>
      <c r="N447">
        <v>5236</v>
      </c>
      <c r="O447">
        <v>4346</v>
      </c>
      <c r="P447">
        <v>4013</v>
      </c>
      <c r="Q447">
        <v>3080</v>
      </c>
      <c r="R447">
        <v>2963</v>
      </c>
      <c r="S447">
        <v>2896</v>
      </c>
      <c r="T447">
        <v>1327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877877</v>
      </c>
    </row>
    <row r="448" spans="1:51" hidden="1" x14ac:dyDescent="0.2">
      <c r="A448" t="s">
        <v>25</v>
      </c>
      <c r="C448">
        <v>446</v>
      </c>
      <c r="D448">
        <v>15</v>
      </c>
      <c r="E448" t="s">
        <v>525</v>
      </c>
      <c r="F448">
        <v>2014</v>
      </c>
      <c r="H448">
        <v>324016</v>
      </c>
      <c r="I448">
        <v>260930</v>
      </c>
      <c r="J448">
        <v>233971</v>
      </c>
      <c r="K448">
        <v>21832</v>
      </c>
      <c r="L448">
        <v>14368</v>
      </c>
      <c r="M448">
        <v>10523</v>
      </c>
      <c r="N448">
        <v>7713</v>
      </c>
      <c r="O448">
        <v>5668</v>
      </c>
      <c r="P448">
        <v>4620</v>
      </c>
      <c r="Q448">
        <v>4536</v>
      </c>
      <c r="R448">
        <v>3307</v>
      </c>
      <c r="S448">
        <v>2129</v>
      </c>
      <c r="T448">
        <v>1911</v>
      </c>
      <c r="U448">
        <v>1733</v>
      </c>
      <c r="V448">
        <v>1398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898655</v>
      </c>
    </row>
    <row r="449" spans="1:51" hidden="1" x14ac:dyDescent="0.2">
      <c r="A449" t="s">
        <v>25</v>
      </c>
      <c r="C449">
        <v>447</v>
      </c>
      <c r="D449">
        <v>19</v>
      </c>
      <c r="E449" t="s">
        <v>526</v>
      </c>
      <c r="F449">
        <v>2014</v>
      </c>
      <c r="H449">
        <v>340306</v>
      </c>
      <c r="I449">
        <v>277102</v>
      </c>
      <c r="J449">
        <v>266528</v>
      </c>
      <c r="K449">
        <v>17950</v>
      </c>
      <c r="L449">
        <v>13271</v>
      </c>
      <c r="M449">
        <v>5660</v>
      </c>
      <c r="N449">
        <v>5207</v>
      </c>
      <c r="O449">
        <v>4875</v>
      </c>
      <c r="P449">
        <v>4051</v>
      </c>
      <c r="Q449">
        <v>3866</v>
      </c>
      <c r="R449">
        <v>3752</v>
      </c>
      <c r="S449">
        <v>3517</v>
      </c>
      <c r="T449">
        <v>3082</v>
      </c>
      <c r="U449">
        <v>2507</v>
      </c>
      <c r="V449">
        <v>2103</v>
      </c>
      <c r="W449">
        <v>1882</v>
      </c>
      <c r="X449">
        <v>1695</v>
      </c>
      <c r="Y449">
        <v>1566</v>
      </c>
      <c r="Z449">
        <v>1298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960218</v>
      </c>
    </row>
    <row r="450" spans="1:51" hidden="1" x14ac:dyDescent="0.2">
      <c r="A450" t="s">
        <v>25</v>
      </c>
      <c r="C450">
        <v>448</v>
      </c>
      <c r="D450">
        <v>19</v>
      </c>
      <c r="E450" t="s">
        <v>527</v>
      </c>
      <c r="F450">
        <v>2014</v>
      </c>
      <c r="H450">
        <v>379797</v>
      </c>
      <c r="I450">
        <v>233782</v>
      </c>
      <c r="J450">
        <v>166443</v>
      </c>
      <c r="K450">
        <v>165887</v>
      </c>
      <c r="L450">
        <v>19315</v>
      </c>
      <c r="M450">
        <v>18162</v>
      </c>
      <c r="N450">
        <v>8163</v>
      </c>
      <c r="O450">
        <v>7650</v>
      </c>
      <c r="P450">
        <v>7581</v>
      </c>
      <c r="Q450">
        <v>4457</v>
      </c>
      <c r="R450">
        <v>4188</v>
      </c>
      <c r="S450">
        <v>4130</v>
      </c>
      <c r="T450">
        <v>4030</v>
      </c>
      <c r="U450">
        <v>3826</v>
      </c>
      <c r="V450">
        <v>2949</v>
      </c>
      <c r="W450">
        <v>2721</v>
      </c>
      <c r="X450">
        <v>2543</v>
      </c>
      <c r="Y450">
        <v>2246</v>
      </c>
      <c r="Z450">
        <v>1786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1039656</v>
      </c>
    </row>
    <row r="451" spans="1:51" hidden="1" x14ac:dyDescent="0.2">
      <c r="A451" t="s">
        <v>25</v>
      </c>
      <c r="C451">
        <v>449</v>
      </c>
      <c r="D451">
        <v>14</v>
      </c>
      <c r="E451" t="s">
        <v>528</v>
      </c>
      <c r="F451">
        <v>2014</v>
      </c>
      <c r="H451">
        <v>392213</v>
      </c>
      <c r="I451">
        <v>159871</v>
      </c>
      <c r="J451">
        <v>159688</v>
      </c>
      <c r="K451">
        <v>66084</v>
      </c>
      <c r="L451">
        <v>41890</v>
      </c>
      <c r="M451">
        <v>8322</v>
      </c>
      <c r="N451">
        <v>4947</v>
      </c>
      <c r="O451">
        <v>4377</v>
      </c>
      <c r="P451">
        <v>4263</v>
      </c>
      <c r="Q451">
        <v>3631</v>
      </c>
      <c r="R451">
        <v>3572</v>
      </c>
      <c r="S451">
        <v>2709</v>
      </c>
      <c r="T451">
        <v>1675</v>
      </c>
      <c r="U451">
        <v>1507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854749</v>
      </c>
    </row>
    <row r="452" spans="1:51" hidden="1" x14ac:dyDescent="0.2">
      <c r="A452" t="s">
        <v>25</v>
      </c>
      <c r="C452">
        <v>450</v>
      </c>
      <c r="D452">
        <v>16</v>
      </c>
      <c r="E452" t="s">
        <v>529</v>
      </c>
      <c r="F452">
        <v>2014</v>
      </c>
      <c r="H452">
        <v>359758</v>
      </c>
      <c r="I452">
        <v>220324</v>
      </c>
      <c r="J452">
        <v>163943</v>
      </c>
      <c r="K452">
        <v>141684</v>
      </c>
      <c r="L452">
        <v>13501</v>
      </c>
      <c r="M452">
        <v>6833</v>
      </c>
      <c r="N452">
        <v>6670</v>
      </c>
      <c r="O452">
        <v>6435</v>
      </c>
      <c r="P452">
        <v>6166</v>
      </c>
      <c r="Q452">
        <v>3674</v>
      </c>
      <c r="R452">
        <v>3297</v>
      </c>
      <c r="S452">
        <v>2815</v>
      </c>
      <c r="T452">
        <v>2529</v>
      </c>
      <c r="U452">
        <v>2506</v>
      </c>
      <c r="V452">
        <v>1096</v>
      </c>
      <c r="W452">
        <v>980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942211</v>
      </c>
    </row>
    <row r="453" spans="1:51" hidden="1" x14ac:dyDescent="0.2">
      <c r="A453" t="s">
        <v>25</v>
      </c>
      <c r="C453">
        <v>451</v>
      </c>
      <c r="D453">
        <v>22</v>
      </c>
      <c r="E453" t="s">
        <v>530</v>
      </c>
      <c r="F453">
        <v>2014</v>
      </c>
      <c r="H453">
        <v>367149</v>
      </c>
      <c r="I453">
        <v>220839</v>
      </c>
      <c r="J453">
        <v>180003</v>
      </c>
      <c r="K453">
        <v>64137</v>
      </c>
      <c r="L453">
        <v>43471</v>
      </c>
      <c r="M453">
        <v>42759</v>
      </c>
      <c r="N453">
        <v>20832</v>
      </c>
      <c r="O453">
        <v>19636</v>
      </c>
      <c r="P453">
        <v>7281</v>
      </c>
      <c r="Q453">
        <v>7206</v>
      </c>
      <c r="R453">
        <v>6814</v>
      </c>
      <c r="S453">
        <v>4026</v>
      </c>
      <c r="T453">
        <v>2773</v>
      </c>
      <c r="U453">
        <v>2694</v>
      </c>
      <c r="V453">
        <v>2608</v>
      </c>
      <c r="W453">
        <v>2595</v>
      </c>
      <c r="X453">
        <v>2329</v>
      </c>
      <c r="Y453">
        <v>2204</v>
      </c>
      <c r="Z453">
        <v>2109</v>
      </c>
      <c r="AA453">
        <v>2064</v>
      </c>
      <c r="AB453">
        <v>1863</v>
      </c>
      <c r="AC453">
        <v>1751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1007143</v>
      </c>
    </row>
    <row r="454" spans="1:51" hidden="1" x14ac:dyDescent="0.2">
      <c r="A454" t="s">
        <v>25</v>
      </c>
      <c r="C454">
        <v>452</v>
      </c>
      <c r="D454">
        <v>16</v>
      </c>
      <c r="E454" t="s">
        <v>531</v>
      </c>
      <c r="F454">
        <v>2014</v>
      </c>
      <c r="H454">
        <v>438210</v>
      </c>
      <c r="I454">
        <v>266055</v>
      </c>
      <c r="J454">
        <v>191387</v>
      </c>
      <c r="K454">
        <v>36275</v>
      </c>
      <c r="L454">
        <v>18777</v>
      </c>
      <c r="M454">
        <v>9223</v>
      </c>
      <c r="N454">
        <v>8448</v>
      </c>
      <c r="O454">
        <v>7833</v>
      </c>
      <c r="P454">
        <v>5279</v>
      </c>
      <c r="Q454">
        <v>4362</v>
      </c>
      <c r="R454">
        <v>2708</v>
      </c>
      <c r="S454">
        <v>2669</v>
      </c>
      <c r="T454">
        <v>2114</v>
      </c>
      <c r="U454">
        <v>1552</v>
      </c>
      <c r="V454">
        <v>1543</v>
      </c>
      <c r="W454">
        <v>1467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997902</v>
      </c>
    </row>
    <row r="455" spans="1:51" hidden="1" x14ac:dyDescent="0.2">
      <c r="A455" t="s">
        <v>25</v>
      </c>
      <c r="C455">
        <v>453</v>
      </c>
      <c r="D455">
        <v>19</v>
      </c>
      <c r="E455" t="s">
        <v>532</v>
      </c>
      <c r="F455">
        <v>2014</v>
      </c>
      <c r="H455">
        <v>306929</v>
      </c>
      <c r="I455">
        <v>274477</v>
      </c>
      <c r="J455">
        <v>241645</v>
      </c>
      <c r="K455">
        <v>59510</v>
      </c>
      <c r="L455">
        <v>34093</v>
      </c>
      <c r="M455">
        <v>18908</v>
      </c>
      <c r="N455">
        <v>6925</v>
      </c>
      <c r="O455">
        <v>6512</v>
      </c>
      <c r="P455">
        <v>6381</v>
      </c>
      <c r="Q455">
        <v>5611</v>
      </c>
      <c r="R455">
        <v>4889</v>
      </c>
      <c r="S455">
        <v>4019</v>
      </c>
      <c r="T455">
        <v>3585</v>
      </c>
      <c r="U455">
        <v>3468</v>
      </c>
      <c r="V455">
        <v>2484</v>
      </c>
      <c r="W455">
        <v>2416</v>
      </c>
      <c r="X455">
        <v>2122</v>
      </c>
      <c r="Y455">
        <v>1588</v>
      </c>
      <c r="Z455">
        <v>1111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986673</v>
      </c>
    </row>
    <row r="456" spans="1:51" hidden="1" x14ac:dyDescent="0.2">
      <c r="A456" t="s">
        <v>25</v>
      </c>
      <c r="C456">
        <v>454</v>
      </c>
      <c r="D456">
        <v>22</v>
      </c>
      <c r="E456" t="s">
        <v>533</v>
      </c>
      <c r="F456">
        <v>2014</v>
      </c>
      <c r="H456">
        <v>414135</v>
      </c>
      <c r="I456">
        <v>257379</v>
      </c>
      <c r="J456">
        <v>204145</v>
      </c>
      <c r="K456">
        <v>27194</v>
      </c>
      <c r="L456">
        <v>15598</v>
      </c>
      <c r="M456">
        <v>8756</v>
      </c>
      <c r="N456">
        <v>7767</v>
      </c>
      <c r="O456">
        <v>6170</v>
      </c>
      <c r="P456">
        <v>4993</v>
      </c>
      <c r="Q456">
        <v>4768</v>
      </c>
      <c r="R456">
        <v>4221</v>
      </c>
      <c r="S456">
        <v>3882</v>
      </c>
      <c r="T456">
        <v>3186</v>
      </c>
      <c r="U456">
        <v>2988</v>
      </c>
      <c r="V456">
        <v>2769</v>
      </c>
      <c r="W456">
        <v>2502</v>
      </c>
      <c r="X456">
        <v>2386</v>
      </c>
      <c r="Y456">
        <v>2148</v>
      </c>
      <c r="Z456">
        <v>1482</v>
      </c>
      <c r="AA456">
        <v>1423</v>
      </c>
      <c r="AB456">
        <v>1362</v>
      </c>
      <c r="AC456">
        <v>1318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980572</v>
      </c>
    </row>
    <row r="457" spans="1:51" hidden="1" x14ac:dyDescent="0.2">
      <c r="A457" t="s">
        <v>25</v>
      </c>
      <c r="C457">
        <v>455</v>
      </c>
      <c r="D457">
        <v>35</v>
      </c>
      <c r="E457" t="s">
        <v>534</v>
      </c>
      <c r="F457">
        <v>2014</v>
      </c>
      <c r="H457">
        <v>581022</v>
      </c>
      <c r="I457">
        <v>209238</v>
      </c>
      <c r="J457">
        <v>75614</v>
      </c>
      <c r="K457">
        <v>60579</v>
      </c>
      <c r="L457">
        <v>45291</v>
      </c>
      <c r="M457">
        <v>4327</v>
      </c>
      <c r="N457">
        <v>3634</v>
      </c>
      <c r="O457">
        <v>3023</v>
      </c>
      <c r="P457">
        <v>2850</v>
      </c>
      <c r="Q457">
        <v>2674</v>
      </c>
      <c r="R457">
        <v>2457</v>
      </c>
      <c r="S457">
        <v>2323</v>
      </c>
      <c r="T457">
        <v>2277</v>
      </c>
      <c r="U457">
        <v>2051</v>
      </c>
      <c r="V457">
        <v>2037</v>
      </c>
      <c r="W457">
        <v>2000</v>
      </c>
      <c r="X457">
        <v>1807</v>
      </c>
      <c r="Y457">
        <v>1740</v>
      </c>
      <c r="Z457">
        <v>1644</v>
      </c>
      <c r="AA457">
        <v>1524</v>
      </c>
      <c r="AB457">
        <v>1434</v>
      </c>
      <c r="AC457">
        <v>1376</v>
      </c>
      <c r="AD457">
        <v>1367</v>
      </c>
      <c r="AE457">
        <v>1361</v>
      </c>
      <c r="AF457">
        <v>1306</v>
      </c>
      <c r="AG457">
        <v>1202</v>
      </c>
      <c r="AH457">
        <v>1192</v>
      </c>
      <c r="AI457">
        <v>1172</v>
      </c>
      <c r="AJ457">
        <v>1151</v>
      </c>
      <c r="AK457">
        <v>1144</v>
      </c>
      <c r="AL457">
        <v>1089</v>
      </c>
      <c r="AM457">
        <v>1074</v>
      </c>
      <c r="AN457">
        <v>1012</v>
      </c>
      <c r="AO457">
        <v>997</v>
      </c>
      <c r="AP457">
        <v>937</v>
      </c>
      <c r="AQ457">
        <v>878</v>
      </c>
      <c r="AR457">
        <v>838</v>
      </c>
      <c r="AS457">
        <v>677</v>
      </c>
      <c r="AT457">
        <v>599</v>
      </c>
      <c r="AU457">
        <v>573</v>
      </c>
      <c r="AV457">
        <v>459</v>
      </c>
      <c r="AW457">
        <v>423</v>
      </c>
      <c r="AX457">
        <v>312</v>
      </c>
      <c r="AY457">
        <v>1030685</v>
      </c>
    </row>
    <row r="458" spans="1:51" hidden="1" x14ac:dyDescent="0.2">
      <c r="A458" t="s">
        <v>25</v>
      </c>
      <c r="C458">
        <v>456</v>
      </c>
      <c r="D458">
        <v>15</v>
      </c>
      <c r="E458" t="s">
        <v>535</v>
      </c>
      <c r="F458">
        <v>2014</v>
      </c>
      <c r="H458">
        <v>403695</v>
      </c>
      <c r="I458">
        <v>245554</v>
      </c>
      <c r="J458">
        <v>238712</v>
      </c>
      <c r="K458">
        <v>26995</v>
      </c>
      <c r="L458">
        <v>22573</v>
      </c>
      <c r="M458">
        <v>8969</v>
      </c>
      <c r="N458">
        <v>7734</v>
      </c>
      <c r="O458">
        <v>5808</v>
      </c>
      <c r="P458">
        <v>4821</v>
      </c>
      <c r="Q458">
        <v>4319</v>
      </c>
      <c r="R458">
        <v>4169</v>
      </c>
      <c r="S458">
        <v>2442</v>
      </c>
      <c r="T458">
        <v>2191</v>
      </c>
      <c r="U458">
        <v>1964</v>
      </c>
      <c r="V458">
        <v>1920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981866</v>
      </c>
    </row>
    <row r="459" spans="1:51" hidden="1" x14ac:dyDescent="0.2">
      <c r="A459" t="s">
        <v>25</v>
      </c>
      <c r="C459">
        <v>457</v>
      </c>
      <c r="D459">
        <v>24</v>
      </c>
      <c r="E459" t="s">
        <v>536</v>
      </c>
      <c r="F459">
        <v>2014</v>
      </c>
      <c r="H459">
        <v>436536</v>
      </c>
      <c r="I459">
        <v>217457</v>
      </c>
      <c r="J459">
        <v>152666</v>
      </c>
      <c r="K459">
        <v>108859</v>
      </c>
      <c r="L459">
        <v>11245</v>
      </c>
      <c r="M459">
        <v>7947</v>
      </c>
      <c r="N459">
        <v>6811</v>
      </c>
      <c r="O459">
        <v>6762</v>
      </c>
      <c r="P459">
        <v>4787</v>
      </c>
      <c r="Q459">
        <v>4639</v>
      </c>
      <c r="R459">
        <v>4548</v>
      </c>
      <c r="S459">
        <v>4539</v>
      </c>
      <c r="T459">
        <v>4405</v>
      </c>
      <c r="U459">
        <v>4318</v>
      </c>
      <c r="V459">
        <v>4304</v>
      </c>
      <c r="W459">
        <v>4209</v>
      </c>
      <c r="X459">
        <v>4148</v>
      </c>
      <c r="Y459">
        <v>3627</v>
      </c>
      <c r="Z459">
        <v>3324</v>
      </c>
      <c r="AA459">
        <v>3300</v>
      </c>
      <c r="AB459">
        <v>2685</v>
      </c>
      <c r="AC459">
        <v>2363</v>
      </c>
      <c r="AD459">
        <v>2138</v>
      </c>
      <c r="AE459">
        <v>2010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1007627</v>
      </c>
    </row>
    <row r="460" spans="1:51" hidden="1" x14ac:dyDescent="0.2">
      <c r="A460" t="s">
        <v>25</v>
      </c>
      <c r="C460">
        <v>458</v>
      </c>
      <c r="D460">
        <v>15</v>
      </c>
      <c r="E460" t="s">
        <v>537</v>
      </c>
      <c r="F460">
        <v>2014</v>
      </c>
      <c r="H460">
        <v>378211</v>
      </c>
      <c r="I460">
        <v>187725</v>
      </c>
      <c r="J460">
        <v>135966</v>
      </c>
      <c r="K460">
        <v>86235</v>
      </c>
      <c r="L460">
        <v>24363</v>
      </c>
      <c r="M460">
        <v>18489</v>
      </c>
      <c r="N460">
        <v>9913</v>
      </c>
      <c r="O460">
        <v>9408</v>
      </c>
      <c r="P460">
        <v>7703</v>
      </c>
      <c r="Q460">
        <v>6101</v>
      </c>
      <c r="R460">
        <v>5613</v>
      </c>
      <c r="S460">
        <v>5307</v>
      </c>
      <c r="T460">
        <v>4891</v>
      </c>
      <c r="U460">
        <v>2982</v>
      </c>
      <c r="V460">
        <v>2966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885873</v>
      </c>
    </row>
    <row r="461" spans="1:51" hidden="1" x14ac:dyDescent="0.2">
      <c r="A461" t="s">
        <v>27</v>
      </c>
      <c r="C461">
        <v>459</v>
      </c>
      <c r="D461">
        <v>13</v>
      </c>
      <c r="E461" t="s">
        <v>538</v>
      </c>
      <c r="F461">
        <v>2014</v>
      </c>
      <c r="H461">
        <v>526499</v>
      </c>
      <c r="I461">
        <v>439392</v>
      </c>
      <c r="J461">
        <v>217653</v>
      </c>
      <c r="K461">
        <v>74540</v>
      </c>
      <c r="L461">
        <v>15683</v>
      </c>
      <c r="M461">
        <v>13205</v>
      </c>
      <c r="N461">
        <v>11409</v>
      </c>
      <c r="O461">
        <v>7125</v>
      </c>
      <c r="P461">
        <v>6742</v>
      </c>
      <c r="Q461">
        <v>5796</v>
      </c>
      <c r="R461">
        <v>5137</v>
      </c>
      <c r="S461">
        <v>5059</v>
      </c>
      <c r="T461">
        <v>4169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1332409</v>
      </c>
    </row>
    <row r="462" spans="1:51" hidden="1" x14ac:dyDescent="0.2">
      <c r="A462" t="s">
        <v>27</v>
      </c>
      <c r="C462">
        <v>460</v>
      </c>
      <c r="D462">
        <v>11</v>
      </c>
      <c r="E462" t="s">
        <v>539</v>
      </c>
      <c r="F462">
        <v>2014</v>
      </c>
      <c r="H462">
        <v>362453</v>
      </c>
      <c r="I462">
        <v>341056</v>
      </c>
      <c r="J462">
        <v>335857</v>
      </c>
      <c r="K462">
        <v>116718</v>
      </c>
      <c r="L462">
        <v>19885</v>
      </c>
      <c r="M462">
        <v>11039</v>
      </c>
      <c r="N462">
        <v>10450</v>
      </c>
      <c r="O462">
        <v>7676</v>
      </c>
      <c r="P462">
        <v>7131</v>
      </c>
      <c r="Q462">
        <v>5961</v>
      </c>
      <c r="R462">
        <v>5340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1223566</v>
      </c>
    </row>
    <row r="463" spans="1:51" hidden="1" x14ac:dyDescent="0.2">
      <c r="A463" t="s">
        <v>27</v>
      </c>
      <c r="C463">
        <v>461</v>
      </c>
      <c r="D463">
        <v>13</v>
      </c>
      <c r="E463" t="s">
        <v>540</v>
      </c>
      <c r="F463">
        <v>2014</v>
      </c>
      <c r="H463">
        <v>494773</v>
      </c>
      <c r="I463">
        <v>425167</v>
      </c>
      <c r="J463">
        <v>221593</v>
      </c>
      <c r="K463">
        <v>87588</v>
      </c>
      <c r="L463">
        <v>16541</v>
      </c>
      <c r="M463">
        <v>12147</v>
      </c>
      <c r="N463">
        <v>9283</v>
      </c>
      <c r="O463">
        <v>8545</v>
      </c>
      <c r="P463">
        <v>7636</v>
      </c>
      <c r="Q463">
        <v>6608</v>
      </c>
      <c r="R463">
        <v>4900</v>
      </c>
      <c r="S463">
        <v>4501</v>
      </c>
      <c r="T463">
        <v>2835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1302117</v>
      </c>
    </row>
    <row r="464" spans="1:51" hidden="1" x14ac:dyDescent="0.2">
      <c r="A464" t="s">
        <v>27</v>
      </c>
      <c r="C464">
        <v>462</v>
      </c>
      <c r="D464">
        <v>14</v>
      </c>
      <c r="E464" t="s">
        <v>541</v>
      </c>
      <c r="F464">
        <v>2014</v>
      </c>
      <c r="H464">
        <v>488257</v>
      </c>
      <c r="I464">
        <v>291018</v>
      </c>
      <c r="J464">
        <v>167186</v>
      </c>
      <c r="K464">
        <v>90076</v>
      </c>
      <c r="L464">
        <v>55767</v>
      </c>
      <c r="M464">
        <v>18045</v>
      </c>
      <c r="N464">
        <v>6100</v>
      </c>
      <c r="O464">
        <v>6040</v>
      </c>
      <c r="P464">
        <v>5449</v>
      </c>
      <c r="Q464">
        <v>3993</v>
      </c>
      <c r="R464">
        <v>3043</v>
      </c>
      <c r="S464">
        <v>2906</v>
      </c>
      <c r="T464">
        <v>2100</v>
      </c>
      <c r="U464">
        <v>2029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1142009</v>
      </c>
    </row>
    <row r="465" spans="1:51" hidden="1" x14ac:dyDescent="0.2">
      <c r="A465" t="s">
        <v>27</v>
      </c>
      <c r="C465">
        <v>463</v>
      </c>
      <c r="D465">
        <v>13</v>
      </c>
      <c r="E465" t="s">
        <v>542</v>
      </c>
      <c r="F465">
        <v>2014</v>
      </c>
      <c r="H465">
        <v>317515</v>
      </c>
      <c r="I465">
        <v>315881</v>
      </c>
      <c r="J465">
        <v>203131</v>
      </c>
      <c r="K465">
        <v>192698</v>
      </c>
      <c r="L465">
        <v>32303</v>
      </c>
      <c r="M465">
        <v>10929</v>
      </c>
      <c r="N465">
        <v>8592</v>
      </c>
      <c r="O465">
        <v>5629</v>
      </c>
      <c r="P465">
        <v>5548</v>
      </c>
      <c r="Q465">
        <v>5544</v>
      </c>
      <c r="R465">
        <v>3614</v>
      </c>
      <c r="S465">
        <v>3471</v>
      </c>
      <c r="T465">
        <v>3338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1108193</v>
      </c>
    </row>
    <row r="466" spans="1:51" hidden="1" x14ac:dyDescent="0.2">
      <c r="A466" t="s">
        <v>27</v>
      </c>
      <c r="C466">
        <v>464</v>
      </c>
      <c r="D466">
        <v>13</v>
      </c>
      <c r="E466" t="s">
        <v>543</v>
      </c>
      <c r="F466">
        <v>2014</v>
      </c>
      <c r="H466">
        <v>409641</v>
      </c>
      <c r="I466">
        <v>302677</v>
      </c>
      <c r="J466">
        <v>223014</v>
      </c>
      <c r="K466">
        <v>80715</v>
      </c>
      <c r="L466">
        <v>11691</v>
      </c>
      <c r="M466">
        <v>10547</v>
      </c>
      <c r="N466">
        <v>5647</v>
      </c>
      <c r="O466">
        <v>4774</v>
      </c>
      <c r="P466">
        <v>4581</v>
      </c>
      <c r="Q466">
        <v>3969</v>
      </c>
      <c r="R466">
        <v>2644</v>
      </c>
      <c r="S466">
        <v>1687</v>
      </c>
      <c r="T466">
        <v>1466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1063053</v>
      </c>
    </row>
    <row r="467" spans="1:51" hidden="1" x14ac:dyDescent="0.2">
      <c r="A467" t="s">
        <v>27</v>
      </c>
      <c r="C467">
        <v>465</v>
      </c>
      <c r="D467">
        <v>15</v>
      </c>
      <c r="E467" t="s">
        <v>544</v>
      </c>
      <c r="F467">
        <v>2014</v>
      </c>
      <c r="H467">
        <v>388609</v>
      </c>
      <c r="I467">
        <v>322904</v>
      </c>
      <c r="J467">
        <v>197313</v>
      </c>
      <c r="K467">
        <v>179000</v>
      </c>
      <c r="L467">
        <v>12163</v>
      </c>
      <c r="M467">
        <v>10481</v>
      </c>
      <c r="N467">
        <v>8988</v>
      </c>
      <c r="O467">
        <v>7128</v>
      </c>
      <c r="P467">
        <v>6805</v>
      </c>
      <c r="Q467">
        <v>6446</v>
      </c>
      <c r="R467">
        <v>6229</v>
      </c>
      <c r="S467">
        <v>4696</v>
      </c>
      <c r="T467">
        <v>4650</v>
      </c>
      <c r="U467">
        <v>4225</v>
      </c>
      <c r="V467">
        <v>3348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1162985</v>
      </c>
    </row>
    <row r="468" spans="1:51" hidden="1" x14ac:dyDescent="0.2">
      <c r="A468" t="s">
        <v>27</v>
      </c>
      <c r="C468">
        <v>466</v>
      </c>
      <c r="D468">
        <v>18</v>
      </c>
      <c r="E468" t="s">
        <v>545</v>
      </c>
      <c r="F468">
        <v>2014</v>
      </c>
      <c r="H468">
        <v>380291</v>
      </c>
      <c r="I468">
        <v>216180</v>
      </c>
      <c r="J468">
        <v>209480</v>
      </c>
      <c r="K468">
        <v>192632</v>
      </c>
      <c r="L468">
        <v>21207</v>
      </c>
      <c r="M468">
        <v>12952</v>
      </c>
      <c r="N468">
        <v>11426</v>
      </c>
      <c r="O468">
        <v>10536</v>
      </c>
      <c r="P468">
        <v>8392</v>
      </c>
      <c r="Q468">
        <v>6616</v>
      </c>
      <c r="R468">
        <v>6138</v>
      </c>
      <c r="S468">
        <v>3377</v>
      </c>
      <c r="T468">
        <v>3282</v>
      </c>
      <c r="U468">
        <v>2720</v>
      </c>
      <c r="V468">
        <v>2466</v>
      </c>
      <c r="W468">
        <v>1921</v>
      </c>
      <c r="X468">
        <v>1449</v>
      </c>
      <c r="Y468">
        <v>1342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1092407</v>
      </c>
    </row>
    <row r="469" spans="1:51" hidden="1" x14ac:dyDescent="0.2">
      <c r="A469" t="s">
        <v>27</v>
      </c>
      <c r="C469">
        <v>467</v>
      </c>
      <c r="D469">
        <v>12</v>
      </c>
      <c r="E469" t="s">
        <v>546</v>
      </c>
      <c r="F469">
        <v>2014</v>
      </c>
      <c r="H469">
        <v>378201</v>
      </c>
      <c r="I469">
        <v>370040</v>
      </c>
      <c r="J469">
        <v>207455</v>
      </c>
      <c r="K469">
        <v>96751</v>
      </c>
      <c r="L469">
        <v>17257</v>
      </c>
      <c r="M469">
        <v>11079</v>
      </c>
      <c r="N469">
        <v>10055</v>
      </c>
      <c r="O469">
        <v>9476</v>
      </c>
      <c r="P469">
        <v>7926</v>
      </c>
      <c r="Q469">
        <v>5507</v>
      </c>
      <c r="R469">
        <v>3019</v>
      </c>
      <c r="S469">
        <v>2318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1119084</v>
      </c>
    </row>
    <row r="470" spans="1:51" hidden="1" x14ac:dyDescent="0.2">
      <c r="A470" t="s">
        <v>27</v>
      </c>
      <c r="C470">
        <v>468</v>
      </c>
      <c r="D470">
        <v>9</v>
      </c>
      <c r="E470" t="s">
        <v>547</v>
      </c>
      <c r="F470">
        <v>2014</v>
      </c>
      <c r="H470">
        <v>583549</v>
      </c>
      <c r="I470">
        <v>226982</v>
      </c>
      <c r="J470">
        <v>225699</v>
      </c>
      <c r="K470">
        <v>81656</v>
      </c>
      <c r="L470">
        <v>11642</v>
      </c>
      <c r="M470">
        <v>11192</v>
      </c>
      <c r="N470">
        <v>4869</v>
      </c>
      <c r="O470">
        <v>4676</v>
      </c>
      <c r="P470">
        <v>4322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1154587</v>
      </c>
    </row>
    <row r="471" spans="1:51" hidden="1" x14ac:dyDescent="0.2">
      <c r="A471" t="s">
        <v>27</v>
      </c>
      <c r="C471">
        <v>469</v>
      </c>
      <c r="D471">
        <v>13</v>
      </c>
      <c r="E471" t="s">
        <v>548</v>
      </c>
      <c r="F471">
        <v>2014</v>
      </c>
      <c r="H471">
        <v>426947</v>
      </c>
      <c r="I471">
        <v>408494</v>
      </c>
      <c r="J471">
        <v>289027</v>
      </c>
      <c r="K471">
        <v>101069</v>
      </c>
      <c r="L471">
        <v>11333</v>
      </c>
      <c r="M471">
        <v>10156</v>
      </c>
      <c r="N471">
        <v>8378</v>
      </c>
      <c r="O471">
        <v>6445</v>
      </c>
      <c r="P471">
        <v>6010</v>
      </c>
      <c r="Q471">
        <v>5722</v>
      </c>
      <c r="R471">
        <v>5383</v>
      </c>
      <c r="S471">
        <v>4539</v>
      </c>
      <c r="T471">
        <v>4260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1287763</v>
      </c>
    </row>
    <row r="472" spans="1:51" hidden="1" x14ac:dyDescent="0.2">
      <c r="A472" t="s">
        <v>27</v>
      </c>
      <c r="C472">
        <v>470</v>
      </c>
      <c r="D472">
        <v>10</v>
      </c>
      <c r="E472" t="s">
        <v>549</v>
      </c>
      <c r="F472">
        <v>2014</v>
      </c>
      <c r="H472">
        <v>438789</v>
      </c>
      <c r="I472">
        <v>367534</v>
      </c>
      <c r="J472">
        <v>329387</v>
      </c>
      <c r="K472">
        <v>74789</v>
      </c>
      <c r="L472">
        <v>7777</v>
      </c>
      <c r="M472">
        <v>7642</v>
      </c>
      <c r="N472">
        <v>7214</v>
      </c>
      <c r="O472">
        <v>6168</v>
      </c>
      <c r="P472">
        <v>4865</v>
      </c>
      <c r="Q472">
        <v>3749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1247914</v>
      </c>
    </row>
    <row r="473" spans="1:51" hidden="1" x14ac:dyDescent="0.2">
      <c r="A473" t="s">
        <v>27</v>
      </c>
      <c r="C473">
        <v>471</v>
      </c>
      <c r="D473">
        <v>10</v>
      </c>
      <c r="E473" t="s">
        <v>550</v>
      </c>
      <c r="F473">
        <v>2014</v>
      </c>
      <c r="H473">
        <v>590451</v>
      </c>
      <c r="I473">
        <v>388684</v>
      </c>
      <c r="J473">
        <v>233670</v>
      </c>
      <c r="K473">
        <v>92218</v>
      </c>
      <c r="L473">
        <v>14626</v>
      </c>
      <c r="M473">
        <v>9116</v>
      </c>
      <c r="N473">
        <v>8658</v>
      </c>
      <c r="O473">
        <v>7952</v>
      </c>
      <c r="P473">
        <v>3992</v>
      </c>
      <c r="Q473">
        <v>3829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1353196</v>
      </c>
    </row>
    <row r="474" spans="1:51" hidden="1" x14ac:dyDescent="0.2">
      <c r="A474" t="s">
        <v>27</v>
      </c>
      <c r="C474">
        <v>472</v>
      </c>
      <c r="D474">
        <v>12</v>
      </c>
      <c r="E474" t="s">
        <v>551</v>
      </c>
      <c r="F474">
        <v>2014</v>
      </c>
      <c r="H474">
        <v>551213</v>
      </c>
      <c r="I474">
        <v>404612</v>
      </c>
      <c r="J474">
        <v>244783</v>
      </c>
      <c r="K474">
        <v>43866</v>
      </c>
      <c r="L474">
        <v>9965</v>
      </c>
      <c r="M474">
        <v>9207</v>
      </c>
      <c r="N474">
        <v>8738</v>
      </c>
      <c r="O474">
        <v>3589</v>
      </c>
      <c r="P474">
        <v>2848</v>
      </c>
      <c r="Q474">
        <v>2624</v>
      </c>
      <c r="R474">
        <v>1172</v>
      </c>
      <c r="S474">
        <v>1071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1283688</v>
      </c>
    </row>
    <row r="475" spans="1:51" hidden="1" x14ac:dyDescent="0.2">
      <c r="A475" t="s">
        <v>27</v>
      </c>
      <c r="C475">
        <v>473</v>
      </c>
      <c r="D475">
        <v>13</v>
      </c>
      <c r="E475" t="s">
        <v>552</v>
      </c>
      <c r="F475">
        <v>2014</v>
      </c>
      <c r="H475">
        <v>479206</v>
      </c>
      <c r="I475">
        <v>272433</v>
      </c>
      <c r="J475">
        <v>230401</v>
      </c>
      <c r="K475">
        <v>30491</v>
      </c>
      <c r="L475">
        <v>10979</v>
      </c>
      <c r="M475">
        <v>5458</v>
      </c>
      <c r="N475">
        <v>5036</v>
      </c>
      <c r="O475">
        <v>4416</v>
      </c>
      <c r="P475">
        <v>3555</v>
      </c>
      <c r="Q475">
        <v>3132</v>
      </c>
      <c r="R475">
        <v>2200</v>
      </c>
      <c r="S475">
        <v>2036</v>
      </c>
      <c r="T475">
        <v>1787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1051130</v>
      </c>
    </row>
    <row r="476" spans="1:51" hidden="1" x14ac:dyDescent="0.2">
      <c r="A476" t="s">
        <v>27</v>
      </c>
      <c r="C476">
        <v>474</v>
      </c>
      <c r="D476">
        <v>10</v>
      </c>
      <c r="E476" t="s">
        <v>553</v>
      </c>
      <c r="F476">
        <v>2014</v>
      </c>
      <c r="H476">
        <v>483244</v>
      </c>
      <c r="I476">
        <v>328310</v>
      </c>
      <c r="J476">
        <v>254819</v>
      </c>
      <c r="K476">
        <v>34116</v>
      </c>
      <c r="L476">
        <v>16837</v>
      </c>
      <c r="M476">
        <v>4823</v>
      </c>
      <c r="N476">
        <v>4077</v>
      </c>
      <c r="O476">
        <v>3256</v>
      </c>
      <c r="P476">
        <v>1618</v>
      </c>
      <c r="Q476">
        <v>1544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1132644</v>
      </c>
    </row>
    <row r="477" spans="1:51" hidden="1" x14ac:dyDescent="0.2">
      <c r="A477" t="s">
        <v>27</v>
      </c>
      <c r="C477">
        <v>475</v>
      </c>
      <c r="D477">
        <v>13</v>
      </c>
      <c r="E477" t="s">
        <v>554</v>
      </c>
      <c r="F477">
        <v>2014</v>
      </c>
      <c r="H477">
        <v>525387</v>
      </c>
      <c r="I477">
        <v>352246</v>
      </c>
      <c r="J477">
        <v>296608</v>
      </c>
      <c r="K477">
        <v>40660</v>
      </c>
      <c r="L477">
        <v>12700</v>
      </c>
      <c r="M477">
        <v>12178</v>
      </c>
      <c r="N477">
        <v>6911</v>
      </c>
      <c r="O477">
        <v>6895</v>
      </c>
      <c r="P477">
        <v>6375</v>
      </c>
      <c r="Q477">
        <v>4122</v>
      </c>
      <c r="R477">
        <v>2439</v>
      </c>
      <c r="S477">
        <v>1478</v>
      </c>
      <c r="T477">
        <v>1332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1269331</v>
      </c>
    </row>
    <row r="478" spans="1:51" hidden="1" x14ac:dyDescent="0.2">
      <c r="A478" t="s">
        <v>27</v>
      </c>
      <c r="C478">
        <v>476</v>
      </c>
      <c r="D478">
        <v>10</v>
      </c>
      <c r="E478" t="s">
        <v>555</v>
      </c>
      <c r="F478">
        <v>2014</v>
      </c>
      <c r="H478">
        <v>492326</v>
      </c>
      <c r="I478">
        <v>382667</v>
      </c>
      <c r="J478">
        <v>233887</v>
      </c>
      <c r="K478">
        <v>102130</v>
      </c>
      <c r="L478">
        <v>25178</v>
      </c>
      <c r="M478">
        <v>9971</v>
      </c>
      <c r="N478">
        <v>8088</v>
      </c>
      <c r="O478">
        <v>7016</v>
      </c>
      <c r="P478">
        <v>6532</v>
      </c>
      <c r="Q478">
        <v>5976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1273771</v>
      </c>
    </row>
    <row r="479" spans="1:51" hidden="1" x14ac:dyDescent="0.2">
      <c r="A479" t="s">
        <v>27</v>
      </c>
      <c r="C479">
        <v>477</v>
      </c>
      <c r="D479">
        <v>11</v>
      </c>
      <c r="E479" t="s">
        <v>556</v>
      </c>
      <c r="F479">
        <v>2014</v>
      </c>
      <c r="H479">
        <v>494746</v>
      </c>
      <c r="I479">
        <v>386362</v>
      </c>
      <c r="J479">
        <v>117454</v>
      </c>
      <c r="K479">
        <v>113206</v>
      </c>
      <c r="L479">
        <v>38493</v>
      </c>
      <c r="M479">
        <v>13333</v>
      </c>
      <c r="N479">
        <v>8819</v>
      </c>
      <c r="O479">
        <v>5908</v>
      </c>
      <c r="P479">
        <v>5161</v>
      </c>
      <c r="Q479">
        <v>2909</v>
      </c>
      <c r="R479">
        <v>2657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1189048</v>
      </c>
    </row>
    <row r="480" spans="1:51" hidden="1" x14ac:dyDescent="0.2">
      <c r="A480" t="s">
        <v>27</v>
      </c>
      <c r="C480">
        <v>478</v>
      </c>
      <c r="D480">
        <v>11</v>
      </c>
      <c r="E480" t="s">
        <v>557</v>
      </c>
      <c r="F480">
        <v>2014</v>
      </c>
      <c r="H480">
        <v>630262</v>
      </c>
      <c r="I480">
        <v>491494</v>
      </c>
      <c r="J480">
        <v>66538</v>
      </c>
      <c r="K480">
        <v>47376</v>
      </c>
      <c r="L480">
        <v>10203</v>
      </c>
      <c r="M480">
        <v>9342</v>
      </c>
      <c r="N480">
        <v>4693</v>
      </c>
      <c r="O480">
        <v>4395</v>
      </c>
      <c r="P480">
        <v>3221</v>
      </c>
      <c r="Q480">
        <v>2100</v>
      </c>
      <c r="R480">
        <v>1361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1270985</v>
      </c>
    </row>
    <row r="481" spans="1:51" hidden="1" x14ac:dyDescent="0.2">
      <c r="A481" t="s">
        <v>27</v>
      </c>
      <c r="C481">
        <v>479</v>
      </c>
      <c r="D481">
        <v>17</v>
      </c>
      <c r="E481" t="s">
        <v>558</v>
      </c>
      <c r="F481">
        <v>2014</v>
      </c>
      <c r="H481">
        <v>508481</v>
      </c>
      <c r="I481">
        <v>437183</v>
      </c>
      <c r="J481">
        <v>200858</v>
      </c>
      <c r="K481">
        <v>63047</v>
      </c>
      <c r="L481">
        <v>10657</v>
      </c>
      <c r="M481">
        <v>8740</v>
      </c>
      <c r="N481">
        <v>6634</v>
      </c>
      <c r="O481">
        <v>6633</v>
      </c>
      <c r="P481">
        <v>3607</v>
      </c>
      <c r="Q481">
        <v>3272</v>
      </c>
      <c r="R481">
        <v>2892</v>
      </c>
      <c r="S481">
        <v>2529</v>
      </c>
      <c r="T481">
        <v>1856</v>
      </c>
      <c r="U481">
        <v>1348</v>
      </c>
      <c r="V481">
        <v>1322</v>
      </c>
      <c r="W481">
        <v>1260</v>
      </c>
      <c r="X481">
        <v>977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1261296</v>
      </c>
    </row>
    <row r="482" spans="1:51" hidden="1" x14ac:dyDescent="0.2">
      <c r="A482" t="s">
        <v>27</v>
      </c>
      <c r="C482">
        <v>480</v>
      </c>
      <c r="D482">
        <v>14</v>
      </c>
      <c r="E482" t="s">
        <v>559</v>
      </c>
      <c r="F482">
        <v>2014</v>
      </c>
      <c r="H482">
        <v>584244</v>
      </c>
      <c r="I482">
        <v>459041</v>
      </c>
      <c r="J482">
        <v>155511</v>
      </c>
      <c r="K482">
        <v>26344</v>
      </c>
      <c r="L482">
        <v>15667</v>
      </c>
      <c r="M482">
        <v>11317</v>
      </c>
      <c r="N482">
        <v>3945</v>
      </c>
      <c r="O482">
        <v>3406</v>
      </c>
      <c r="P482">
        <v>3067</v>
      </c>
      <c r="Q482">
        <v>2885</v>
      </c>
      <c r="R482">
        <v>2837</v>
      </c>
      <c r="S482">
        <v>1464</v>
      </c>
      <c r="T482">
        <v>1340</v>
      </c>
      <c r="U482">
        <v>1294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1272362</v>
      </c>
    </row>
    <row r="483" spans="1:51" hidden="1" x14ac:dyDescent="0.2">
      <c r="A483" t="s">
        <v>27</v>
      </c>
      <c r="C483">
        <v>481</v>
      </c>
      <c r="D483">
        <v>16</v>
      </c>
      <c r="E483" t="s">
        <v>560</v>
      </c>
      <c r="F483">
        <v>2014</v>
      </c>
      <c r="H483">
        <v>431715</v>
      </c>
      <c r="I483">
        <v>295376</v>
      </c>
      <c r="J483">
        <v>278414</v>
      </c>
      <c r="K483">
        <v>113453</v>
      </c>
      <c r="L483">
        <v>19511</v>
      </c>
      <c r="M483">
        <v>4564</v>
      </c>
      <c r="N483">
        <v>4335</v>
      </c>
      <c r="O483">
        <v>3994</v>
      </c>
      <c r="P483">
        <v>3776</v>
      </c>
      <c r="Q483">
        <v>3356</v>
      </c>
      <c r="R483">
        <v>2921</v>
      </c>
      <c r="S483">
        <v>1844</v>
      </c>
      <c r="T483">
        <v>1554</v>
      </c>
      <c r="U483">
        <v>1195</v>
      </c>
      <c r="V483">
        <v>1103</v>
      </c>
      <c r="W483">
        <v>875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1167986</v>
      </c>
    </row>
    <row r="484" spans="1:51" hidden="1" x14ac:dyDescent="0.2">
      <c r="A484" t="s">
        <v>27</v>
      </c>
      <c r="C484">
        <v>482</v>
      </c>
      <c r="D484">
        <v>19</v>
      </c>
      <c r="E484" t="s">
        <v>561</v>
      </c>
      <c r="F484">
        <v>2014</v>
      </c>
      <c r="H484">
        <v>343687</v>
      </c>
      <c r="I484">
        <v>247461</v>
      </c>
      <c r="J484">
        <v>196053</v>
      </c>
      <c r="K484">
        <v>130783</v>
      </c>
      <c r="L484">
        <v>9103</v>
      </c>
      <c r="M484">
        <v>4808</v>
      </c>
      <c r="N484">
        <v>4399</v>
      </c>
      <c r="O484">
        <v>4168</v>
      </c>
      <c r="P484">
        <v>3752</v>
      </c>
      <c r="Q484">
        <v>2127</v>
      </c>
      <c r="R484">
        <v>1860</v>
      </c>
      <c r="S484">
        <v>1810</v>
      </c>
      <c r="T484">
        <v>1435</v>
      </c>
      <c r="U484">
        <v>1149</v>
      </c>
      <c r="V484">
        <v>749</v>
      </c>
      <c r="W484">
        <v>708</v>
      </c>
      <c r="X484">
        <v>660</v>
      </c>
      <c r="Y484">
        <v>548</v>
      </c>
      <c r="Z484">
        <v>518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955778</v>
      </c>
    </row>
    <row r="485" spans="1:51" hidden="1" x14ac:dyDescent="0.2">
      <c r="A485" t="s">
        <v>27</v>
      </c>
      <c r="C485">
        <v>483</v>
      </c>
      <c r="D485">
        <v>16</v>
      </c>
      <c r="E485" t="s">
        <v>562</v>
      </c>
      <c r="F485">
        <v>2014</v>
      </c>
      <c r="H485">
        <v>488461</v>
      </c>
      <c r="I485">
        <v>291505</v>
      </c>
      <c r="J485">
        <v>248120</v>
      </c>
      <c r="K485">
        <v>63254</v>
      </c>
      <c r="L485">
        <v>9929</v>
      </c>
      <c r="M485">
        <v>4441</v>
      </c>
      <c r="N485">
        <v>3241</v>
      </c>
      <c r="O485">
        <v>2680</v>
      </c>
      <c r="P485">
        <v>2343</v>
      </c>
      <c r="Q485">
        <v>2186</v>
      </c>
      <c r="R485">
        <v>2105</v>
      </c>
      <c r="S485">
        <v>2034</v>
      </c>
      <c r="T485">
        <v>1814</v>
      </c>
      <c r="U485">
        <v>1572</v>
      </c>
      <c r="V485">
        <v>1079</v>
      </c>
      <c r="W485">
        <v>635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1125399</v>
      </c>
    </row>
    <row r="486" spans="1:51" hidden="1" x14ac:dyDescent="0.2">
      <c r="A486" t="s">
        <v>27</v>
      </c>
      <c r="C486">
        <v>484</v>
      </c>
      <c r="D486">
        <v>14</v>
      </c>
      <c r="E486" t="s">
        <v>563</v>
      </c>
      <c r="F486">
        <v>2014</v>
      </c>
      <c r="H486">
        <v>570785</v>
      </c>
      <c r="I486">
        <v>369563</v>
      </c>
      <c r="J486">
        <v>137137</v>
      </c>
      <c r="K486">
        <v>67826</v>
      </c>
      <c r="L486">
        <v>8277</v>
      </c>
      <c r="M486">
        <v>6607</v>
      </c>
      <c r="N486">
        <v>5709</v>
      </c>
      <c r="O486">
        <v>3947</v>
      </c>
      <c r="P486">
        <v>3918</v>
      </c>
      <c r="Q486">
        <v>2990</v>
      </c>
      <c r="R486">
        <v>2902</v>
      </c>
      <c r="S486">
        <v>2529</v>
      </c>
      <c r="T486">
        <v>2437</v>
      </c>
      <c r="U486">
        <v>1400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1186027</v>
      </c>
    </row>
    <row r="487" spans="1:51" hidden="1" x14ac:dyDescent="0.2">
      <c r="A487" t="s">
        <v>27</v>
      </c>
      <c r="C487">
        <v>485</v>
      </c>
      <c r="D487">
        <v>11</v>
      </c>
      <c r="E487" t="s">
        <v>564</v>
      </c>
      <c r="F487">
        <v>2014</v>
      </c>
      <c r="H487">
        <v>514933</v>
      </c>
      <c r="I487">
        <v>362407</v>
      </c>
      <c r="J487">
        <v>287712</v>
      </c>
      <c r="K487">
        <v>86099</v>
      </c>
      <c r="L487">
        <v>15374</v>
      </c>
      <c r="M487">
        <v>6613</v>
      </c>
      <c r="N487">
        <v>4277</v>
      </c>
      <c r="O487">
        <v>4240</v>
      </c>
      <c r="P487">
        <v>3406</v>
      </c>
      <c r="Q487">
        <v>2698</v>
      </c>
      <c r="R487">
        <v>2674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1290433</v>
      </c>
    </row>
    <row r="488" spans="1:51" hidden="1" x14ac:dyDescent="0.2">
      <c r="A488" t="s">
        <v>27</v>
      </c>
      <c r="C488">
        <v>486</v>
      </c>
      <c r="D488">
        <v>10</v>
      </c>
      <c r="E488" t="s">
        <v>565</v>
      </c>
      <c r="F488">
        <v>2014</v>
      </c>
      <c r="H488">
        <v>614312</v>
      </c>
      <c r="I488">
        <v>425228</v>
      </c>
      <c r="J488">
        <v>221271</v>
      </c>
      <c r="K488">
        <v>42226</v>
      </c>
      <c r="L488">
        <v>16517</v>
      </c>
      <c r="M488">
        <v>9152</v>
      </c>
      <c r="N488">
        <v>7682</v>
      </c>
      <c r="O488">
        <v>5519</v>
      </c>
      <c r="P488">
        <v>3766</v>
      </c>
      <c r="Q488">
        <v>3197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1348870</v>
      </c>
    </row>
    <row r="489" spans="1:51" hidden="1" x14ac:dyDescent="0.2">
      <c r="A489" t="s">
        <v>27</v>
      </c>
      <c r="C489">
        <v>487</v>
      </c>
      <c r="D489">
        <v>6</v>
      </c>
      <c r="E489" t="s">
        <v>566</v>
      </c>
      <c r="F489">
        <v>2014</v>
      </c>
      <c r="H489">
        <v>748764</v>
      </c>
      <c r="I489">
        <v>401919</v>
      </c>
      <c r="J489">
        <v>158480</v>
      </c>
      <c r="K489">
        <v>27872</v>
      </c>
      <c r="L489">
        <v>17837</v>
      </c>
      <c r="M489">
        <v>7062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1361934</v>
      </c>
    </row>
    <row r="490" spans="1:51" hidden="1" x14ac:dyDescent="0.2">
      <c r="A490" t="s">
        <v>27</v>
      </c>
      <c r="C490">
        <v>488</v>
      </c>
      <c r="D490">
        <v>11</v>
      </c>
      <c r="E490" t="s">
        <v>567</v>
      </c>
      <c r="F490">
        <v>2014</v>
      </c>
      <c r="H490">
        <v>716928</v>
      </c>
      <c r="I490">
        <v>470447</v>
      </c>
      <c r="J490">
        <v>86265</v>
      </c>
      <c r="K490">
        <v>29645</v>
      </c>
      <c r="L490">
        <v>11643</v>
      </c>
      <c r="M490">
        <v>10197</v>
      </c>
      <c r="N490">
        <v>3609</v>
      </c>
      <c r="O490">
        <v>3110</v>
      </c>
      <c r="P490">
        <v>2658</v>
      </c>
      <c r="Q490">
        <v>1682</v>
      </c>
      <c r="R490">
        <v>1500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1337684</v>
      </c>
    </row>
    <row r="491" spans="1:51" hidden="1" x14ac:dyDescent="0.2">
      <c r="A491" t="s">
        <v>27</v>
      </c>
      <c r="C491">
        <v>489</v>
      </c>
      <c r="D491">
        <v>8</v>
      </c>
      <c r="E491" t="s">
        <v>568</v>
      </c>
      <c r="F491">
        <v>2014</v>
      </c>
      <c r="H491">
        <v>676749</v>
      </c>
      <c r="I491">
        <v>447259</v>
      </c>
      <c r="J491">
        <v>111082</v>
      </c>
      <c r="K491">
        <v>27230</v>
      </c>
      <c r="L491">
        <v>9598</v>
      </c>
      <c r="M491">
        <v>8298</v>
      </c>
      <c r="N491">
        <v>7335</v>
      </c>
      <c r="O491">
        <v>3260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1290811</v>
      </c>
    </row>
    <row r="492" spans="1:51" hidden="1" x14ac:dyDescent="0.2">
      <c r="A492" t="s">
        <v>27</v>
      </c>
      <c r="C492">
        <v>490</v>
      </c>
      <c r="D492">
        <v>11</v>
      </c>
      <c r="E492" t="s">
        <v>569</v>
      </c>
      <c r="F492">
        <v>2014</v>
      </c>
      <c r="H492">
        <v>685696</v>
      </c>
      <c r="I492">
        <v>424805</v>
      </c>
      <c r="J492">
        <v>123128</v>
      </c>
      <c r="K492">
        <v>94842</v>
      </c>
      <c r="L492">
        <v>14418</v>
      </c>
      <c r="M492">
        <v>8080</v>
      </c>
      <c r="N492">
        <v>5547</v>
      </c>
      <c r="O492">
        <v>4498</v>
      </c>
      <c r="P492">
        <v>2154</v>
      </c>
      <c r="Q492">
        <v>1983</v>
      </c>
      <c r="R492">
        <v>1758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1366909</v>
      </c>
    </row>
    <row r="493" spans="1:51" hidden="1" x14ac:dyDescent="0.2">
      <c r="A493" t="s">
        <v>27</v>
      </c>
      <c r="C493">
        <v>491</v>
      </c>
      <c r="D493">
        <v>14</v>
      </c>
      <c r="E493" t="s">
        <v>570</v>
      </c>
      <c r="F493">
        <v>2014</v>
      </c>
      <c r="H493">
        <v>674504</v>
      </c>
      <c r="I493">
        <v>326621</v>
      </c>
      <c r="J493">
        <v>122459</v>
      </c>
      <c r="K493">
        <v>40513</v>
      </c>
      <c r="L493">
        <v>22935</v>
      </c>
      <c r="M493">
        <v>15114</v>
      </c>
      <c r="N493">
        <v>8616</v>
      </c>
      <c r="O493">
        <v>8478</v>
      </c>
      <c r="P493">
        <v>8364</v>
      </c>
      <c r="Q493">
        <v>7608</v>
      </c>
      <c r="R493">
        <v>7453</v>
      </c>
      <c r="S493">
        <v>6013</v>
      </c>
      <c r="T493">
        <v>5058</v>
      </c>
      <c r="U493">
        <v>3877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1257613</v>
      </c>
    </row>
    <row r="494" spans="1:51" hidden="1" x14ac:dyDescent="0.2">
      <c r="A494" t="s">
        <v>27</v>
      </c>
      <c r="C494">
        <v>492</v>
      </c>
      <c r="D494">
        <v>11</v>
      </c>
      <c r="E494" t="s">
        <v>571</v>
      </c>
      <c r="F494">
        <v>2014</v>
      </c>
      <c r="H494">
        <v>580441</v>
      </c>
      <c r="I494">
        <v>395313</v>
      </c>
      <c r="J494">
        <v>180071</v>
      </c>
      <c r="K494">
        <v>48914</v>
      </c>
      <c r="L494">
        <v>13616</v>
      </c>
      <c r="M494">
        <v>9800</v>
      </c>
      <c r="N494">
        <v>8640</v>
      </c>
      <c r="O494">
        <v>7881</v>
      </c>
      <c r="P494">
        <v>6070</v>
      </c>
      <c r="Q494">
        <v>5339</v>
      </c>
      <c r="R494">
        <v>4663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1260748</v>
      </c>
    </row>
    <row r="495" spans="1:51" hidden="1" x14ac:dyDescent="0.2">
      <c r="A495" t="s">
        <v>27</v>
      </c>
      <c r="C495">
        <v>493</v>
      </c>
      <c r="D495">
        <v>13</v>
      </c>
      <c r="E495" t="s">
        <v>572</v>
      </c>
      <c r="F495">
        <v>2014</v>
      </c>
      <c r="H495">
        <v>468277</v>
      </c>
      <c r="I495">
        <v>314400</v>
      </c>
      <c r="J495">
        <v>257923</v>
      </c>
      <c r="K495">
        <v>86236</v>
      </c>
      <c r="L495">
        <v>16726</v>
      </c>
      <c r="M495">
        <v>11266</v>
      </c>
      <c r="N495">
        <v>9850</v>
      </c>
      <c r="O495">
        <v>9012</v>
      </c>
      <c r="P495">
        <v>7386</v>
      </c>
      <c r="Q495">
        <v>7168</v>
      </c>
      <c r="R495">
        <v>6774</v>
      </c>
      <c r="S495">
        <v>5584</v>
      </c>
      <c r="T495">
        <v>4073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1204675</v>
      </c>
    </row>
    <row r="496" spans="1:51" hidden="1" x14ac:dyDescent="0.2">
      <c r="A496" t="s">
        <v>27</v>
      </c>
      <c r="C496">
        <v>494</v>
      </c>
      <c r="D496">
        <v>15</v>
      </c>
      <c r="E496" t="s">
        <v>573</v>
      </c>
      <c r="F496">
        <v>2014</v>
      </c>
      <c r="H496">
        <v>483455</v>
      </c>
      <c r="I496">
        <v>384949</v>
      </c>
      <c r="J496">
        <v>251183</v>
      </c>
      <c r="K496">
        <v>23682</v>
      </c>
      <c r="L496">
        <v>22021</v>
      </c>
      <c r="M496">
        <v>10229</v>
      </c>
      <c r="N496">
        <v>9125</v>
      </c>
      <c r="O496">
        <v>9045</v>
      </c>
      <c r="P496">
        <v>7579</v>
      </c>
      <c r="Q496">
        <v>7564</v>
      </c>
      <c r="R496">
        <v>7388</v>
      </c>
      <c r="S496">
        <v>6209</v>
      </c>
      <c r="T496">
        <v>5909</v>
      </c>
      <c r="U496">
        <v>4876</v>
      </c>
      <c r="V496">
        <v>3105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1236319</v>
      </c>
    </row>
    <row r="497" spans="1:51" hidden="1" x14ac:dyDescent="0.2">
      <c r="A497" t="s">
        <v>27</v>
      </c>
      <c r="C497">
        <v>495</v>
      </c>
      <c r="D497">
        <v>10</v>
      </c>
      <c r="E497" t="s">
        <v>574</v>
      </c>
      <c r="F497">
        <v>2014</v>
      </c>
      <c r="H497">
        <v>578870</v>
      </c>
      <c r="I497">
        <v>429185</v>
      </c>
      <c r="J497">
        <v>179530</v>
      </c>
      <c r="K497">
        <v>27054</v>
      </c>
      <c r="L497">
        <v>20928</v>
      </c>
      <c r="M497">
        <v>10127</v>
      </c>
      <c r="N497">
        <v>7816</v>
      </c>
      <c r="O497">
        <v>6854</v>
      </c>
      <c r="P497">
        <v>6820</v>
      </c>
      <c r="Q497">
        <v>4886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1272070</v>
      </c>
    </row>
    <row r="498" spans="1:51" hidden="1" x14ac:dyDescent="0.2">
      <c r="A498" t="s">
        <v>27</v>
      </c>
      <c r="C498">
        <v>496</v>
      </c>
      <c r="D498">
        <v>10</v>
      </c>
      <c r="E498" t="s">
        <v>575</v>
      </c>
      <c r="F498">
        <v>2014</v>
      </c>
      <c r="H498">
        <v>574560</v>
      </c>
      <c r="I498">
        <v>460181</v>
      </c>
      <c r="J498">
        <v>170828</v>
      </c>
      <c r="K498">
        <v>68884</v>
      </c>
      <c r="L498">
        <v>13951</v>
      </c>
      <c r="M498">
        <v>9666</v>
      </c>
      <c r="N498">
        <v>7981</v>
      </c>
      <c r="O498">
        <v>5919</v>
      </c>
      <c r="P498">
        <v>5442</v>
      </c>
      <c r="Q498">
        <v>3410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1320822</v>
      </c>
    </row>
    <row r="499" spans="1:51" hidden="1" x14ac:dyDescent="0.2">
      <c r="A499" t="s">
        <v>27</v>
      </c>
      <c r="C499">
        <v>497</v>
      </c>
      <c r="D499">
        <v>9</v>
      </c>
      <c r="E499" t="s">
        <v>576</v>
      </c>
      <c r="F499">
        <v>2014</v>
      </c>
      <c r="H499">
        <v>554521</v>
      </c>
      <c r="I499">
        <v>447190</v>
      </c>
      <c r="J499">
        <v>237205</v>
      </c>
      <c r="K499">
        <v>44355</v>
      </c>
      <c r="L499">
        <v>16886</v>
      </c>
      <c r="M499">
        <v>11862</v>
      </c>
      <c r="N499">
        <v>7574</v>
      </c>
      <c r="O499">
        <v>6665</v>
      </c>
      <c r="P499">
        <v>4984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1331242</v>
      </c>
    </row>
    <row r="500" spans="1:51" hidden="1" x14ac:dyDescent="0.2">
      <c r="A500" t="s">
        <v>27</v>
      </c>
      <c r="C500">
        <v>498</v>
      </c>
      <c r="D500">
        <v>15</v>
      </c>
      <c r="E500" t="s">
        <v>577</v>
      </c>
      <c r="F500">
        <v>2014</v>
      </c>
      <c r="H500">
        <v>419983</v>
      </c>
      <c r="I500">
        <v>349503</v>
      </c>
      <c r="J500">
        <v>255829</v>
      </c>
      <c r="K500">
        <v>48502</v>
      </c>
      <c r="L500">
        <v>14263</v>
      </c>
      <c r="M500">
        <v>11479</v>
      </c>
      <c r="N500">
        <v>10227</v>
      </c>
      <c r="O500">
        <v>5728</v>
      </c>
      <c r="P500">
        <v>5016</v>
      </c>
      <c r="Q500">
        <v>4947</v>
      </c>
      <c r="R500">
        <v>4663</v>
      </c>
      <c r="S500">
        <v>4256</v>
      </c>
      <c r="T500">
        <v>3115</v>
      </c>
      <c r="U500">
        <v>2450</v>
      </c>
      <c r="V500">
        <v>2434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1142395</v>
      </c>
    </row>
    <row r="501" spans="1:51" hidden="1" x14ac:dyDescent="0.2">
      <c r="A501" t="s">
        <v>27</v>
      </c>
      <c r="C501">
        <v>499</v>
      </c>
      <c r="D501">
        <v>8</v>
      </c>
      <c r="E501" t="s">
        <v>578</v>
      </c>
      <c r="F501">
        <v>2014</v>
      </c>
      <c r="H501">
        <v>630693</v>
      </c>
      <c r="I501">
        <v>394581</v>
      </c>
      <c r="J501">
        <v>197474</v>
      </c>
      <c r="K501">
        <v>46953</v>
      </c>
      <c r="L501">
        <v>17322</v>
      </c>
      <c r="M501">
        <v>6371</v>
      </c>
      <c r="N501">
        <v>5952</v>
      </c>
      <c r="O501">
        <v>5410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1304756</v>
      </c>
    </row>
    <row r="502" spans="1:51" hidden="1" x14ac:dyDescent="0.2">
      <c r="A502" t="s">
        <v>27</v>
      </c>
      <c r="C502">
        <v>500</v>
      </c>
      <c r="D502">
        <v>12</v>
      </c>
      <c r="E502" t="s">
        <v>579</v>
      </c>
      <c r="F502">
        <v>2014</v>
      </c>
      <c r="H502">
        <v>460568</v>
      </c>
      <c r="I502">
        <v>393305</v>
      </c>
      <c r="J502">
        <v>235753</v>
      </c>
      <c r="K502">
        <v>132084</v>
      </c>
      <c r="L502">
        <v>14557</v>
      </c>
      <c r="M502">
        <v>7989</v>
      </c>
      <c r="N502">
        <v>7194</v>
      </c>
      <c r="O502">
        <v>7141</v>
      </c>
      <c r="P502">
        <v>6593</v>
      </c>
      <c r="Q502">
        <v>5448</v>
      </c>
      <c r="R502">
        <v>2982</v>
      </c>
      <c r="S502">
        <v>2205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1275819</v>
      </c>
    </row>
    <row r="503" spans="1:51" hidden="1" x14ac:dyDescent="0.2">
      <c r="A503" t="s">
        <v>29</v>
      </c>
      <c r="C503">
        <v>501</v>
      </c>
      <c r="D503">
        <v>15</v>
      </c>
      <c r="E503" t="s">
        <v>580</v>
      </c>
      <c r="F503">
        <v>2014</v>
      </c>
      <c r="H503">
        <v>585336</v>
      </c>
      <c r="I503">
        <v>438100</v>
      </c>
      <c r="J503">
        <v>31104</v>
      </c>
      <c r="K503">
        <v>21633</v>
      </c>
      <c r="L503">
        <v>15515</v>
      </c>
      <c r="M503">
        <v>14849</v>
      </c>
      <c r="N503">
        <v>14702</v>
      </c>
      <c r="O503">
        <v>11691</v>
      </c>
      <c r="P503">
        <v>11384</v>
      </c>
      <c r="Q503">
        <v>10861</v>
      </c>
      <c r="R503">
        <v>7577</v>
      </c>
      <c r="S503">
        <v>7374</v>
      </c>
      <c r="T503">
        <v>6146</v>
      </c>
      <c r="U503">
        <v>6051</v>
      </c>
      <c r="V503">
        <v>4998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1187321</v>
      </c>
    </row>
    <row r="504" spans="1:51" hidden="1" x14ac:dyDescent="0.2">
      <c r="A504" t="s">
        <v>29</v>
      </c>
      <c r="C504">
        <v>502</v>
      </c>
      <c r="D504">
        <v>13</v>
      </c>
      <c r="E504" t="s">
        <v>581</v>
      </c>
      <c r="F504">
        <v>2014</v>
      </c>
      <c r="H504">
        <v>662478</v>
      </c>
      <c r="I504">
        <v>445728</v>
      </c>
      <c r="J504">
        <v>28480</v>
      </c>
      <c r="K504">
        <v>27152</v>
      </c>
      <c r="L504">
        <v>12860</v>
      </c>
      <c r="M504">
        <v>12133</v>
      </c>
      <c r="N504">
        <v>11227</v>
      </c>
      <c r="O504">
        <v>11098</v>
      </c>
      <c r="P504">
        <v>8747</v>
      </c>
      <c r="Q504">
        <v>8046</v>
      </c>
      <c r="R504">
        <v>7975</v>
      </c>
      <c r="S504">
        <v>5168</v>
      </c>
      <c r="T504">
        <v>5094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1246186</v>
      </c>
    </row>
    <row r="505" spans="1:51" hidden="1" x14ac:dyDescent="0.2">
      <c r="A505" t="s">
        <v>29</v>
      </c>
      <c r="C505">
        <v>503</v>
      </c>
      <c r="D505">
        <v>16</v>
      </c>
      <c r="E505" t="s">
        <v>582</v>
      </c>
      <c r="F505">
        <v>2014</v>
      </c>
      <c r="H505">
        <v>518909</v>
      </c>
      <c r="I505">
        <v>343948</v>
      </c>
      <c r="J505">
        <v>125617</v>
      </c>
      <c r="K505">
        <v>18438</v>
      </c>
      <c r="L505">
        <v>16862</v>
      </c>
      <c r="M505">
        <v>8982</v>
      </c>
      <c r="N505">
        <v>7535</v>
      </c>
      <c r="O505">
        <v>6275</v>
      </c>
      <c r="P505">
        <v>5309</v>
      </c>
      <c r="Q505">
        <v>3977</v>
      </c>
      <c r="R505">
        <v>3208</v>
      </c>
      <c r="S505">
        <v>2962</v>
      </c>
      <c r="T505">
        <v>2890</v>
      </c>
      <c r="U505">
        <v>2859</v>
      </c>
      <c r="V505">
        <v>2852</v>
      </c>
      <c r="W505">
        <v>2724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1073347</v>
      </c>
    </row>
    <row r="506" spans="1:51" hidden="1" x14ac:dyDescent="0.2">
      <c r="A506" t="s">
        <v>29</v>
      </c>
      <c r="C506">
        <v>504</v>
      </c>
      <c r="D506">
        <v>25</v>
      </c>
      <c r="E506" t="s">
        <v>583</v>
      </c>
      <c r="F506">
        <v>2014</v>
      </c>
      <c r="H506">
        <v>439002</v>
      </c>
      <c r="I506">
        <v>434737</v>
      </c>
      <c r="J506">
        <v>52753</v>
      </c>
      <c r="K506">
        <v>18459</v>
      </c>
      <c r="L506">
        <v>14594</v>
      </c>
      <c r="M506">
        <v>14198</v>
      </c>
      <c r="N506">
        <v>9495</v>
      </c>
      <c r="O506">
        <v>8570</v>
      </c>
      <c r="P506">
        <v>6919</v>
      </c>
      <c r="Q506">
        <v>6461</v>
      </c>
      <c r="R506">
        <v>5657</v>
      </c>
      <c r="S506">
        <v>5238</v>
      </c>
      <c r="T506">
        <v>4265</v>
      </c>
      <c r="U506">
        <v>4111</v>
      </c>
      <c r="V506">
        <v>3676</v>
      </c>
      <c r="W506">
        <v>2768</v>
      </c>
      <c r="X506">
        <v>2728</v>
      </c>
      <c r="Y506">
        <v>2700</v>
      </c>
      <c r="Z506">
        <v>2679</v>
      </c>
      <c r="AA506">
        <v>2671</v>
      </c>
      <c r="AB506">
        <v>2478</v>
      </c>
      <c r="AC506">
        <v>2422</v>
      </c>
      <c r="AD506">
        <v>2333</v>
      </c>
      <c r="AE506">
        <v>1998</v>
      </c>
      <c r="AF506">
        <v>1808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1052720</v>
      </c>
    </row>
    <row r="507" spans="1:51" hidden="1" x14ac:dyDescent="0.2">
      <c r="A507" t="s">
        <v>29</v>
      </c>
      <c r="C507">
        <v>505</v>
      </c>
      <c r="D507">
        <v>26</v>
      </c>
      <c r="E507" t="s">
        <v>584</v>
      </c>
      <c r="F507">
        <v>2014</v>
      </c>
      <c r="H507">
        <v>561387</v>
      </c>
      <c r="I507">
        <v>384951</v>
      </c>
      <c r="J507">
        <v>26340</v>
      </c>
      <c r="K507">
        <v>20733</v>
      </c>
      <c r="L507">
        <v>14918</v>
      </c>
      <c r="M507">
        <v>13339</v>
      </c>
      <c r="N507">
        <v>12024</v>
      </c>
      <c r="O507">
        <v>7566</v>
      </c>
      <c r="P507">
        <v>6911</v>
      </c>
      <c r="Q507">
        <v>5385</v>
      </c>
      <c r="R507">
        <v>4294</v>
      </c>
      <c r="S507">
        <v>4279</v>
      </c>
      <c r="T507">
        <v>4034</v>
      </c>
      <c r="U507">
        <v>2988</v>
      </c>
      <c r="V507">
        <v>2369</v>
      </c>
      <c r="W507">
        <v>2244</v>
      </c>
      <c r="X507">
        <v>2237</v>
      </c>
      <c r="Y507">
        <v>2059</v>
      </c>
      <c r="Z507">
        <v>1836</v>
      </c>
      <c r="AA507">
        <v>1776</v>
      </c>
      <c r="AB507">
        <v>1706</v>
      </c>
      <c r="AC507">
        <v>1661</v>
      </c>
      <c r="AD507">
        <v>1458</v>
      </c>
      <c r="AE507">
        <v>1287</v>
      </c>
      <c r="AF507">
        <v>910</v>
      </c>
      <c r="AG507">
        <v>0</v>
      </c>
      <c r="AH507">
        <v>855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1089547</v>
      </c>
    </row>
    <row r="508" spans="1:51" hidden="1" x14ac:dyDescent="0.2">
      <c r="A508" t="s">
        <v>29</v>
      </c>
      <c r="C508">
        <v>506</v>
      </c>
      <c r="D508">
        <v>14</v>
      </c>
      <c r="E508" t="s">
        <v>585</v>
      </c>
      <c r="F508">
        <v>2014</v>
      </c>
      <c r="H508">
        <v>643473</v>
      </c>
      <c r="I508">
        <v>407562</v>
      </c>
      <c r="J508">
        <v>32384</v>
      </c>
      <c r="K508">
        <v>20458</v>
      </c>
      <c r="L508">
        <v>11704</v>
      </c>
      <c r="M508">
        <v>11478</v>
      </c>
      <c r="N508">
        <v>10891</v>
      </c>
      <c r="O508">
        <v>10733</v>
      </c>
      <c r="P508">
        <v>6007</v>
      </c>
      <c r="Q508">
        <v>5941</v>
      </c>
      <c r="R508">
        <v>5546</v>
      </c>
      <c r="S508">
        <v>5255</v>
      </c>
      <c r="T508">
        <v>3636</v>
      </c>
      <c r="U508">
        <v>3228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1178296</v>
      </c>
    </row>
    <row r="509" spans="1:51" hidden="1" x14ac:dyDescent="0.2">
      <c r="A509" t="s">
        <v>29</v>
      </c>
      <c r="C509">
        <v>507</v>
      </c>
      <c r="D509">
        <v>27</v>
      </c>
      <c r="E509" t="s">
        <v>586</v>
      </c>
      <c r="F509">
        <v>2014</v>
      </c>
      <c r="H509">
        <v>570687</v>
      </c>
      <c r="I509">
        <v>553839</v>
      </c>
      <c r="J509">
        <v>17455</v>
      </c>
      <c r="K509">
        <v>16529</v>
      </c>
      <c r="L509">
        <v>15600</v>
      </c>
      <c r="M509">
        <v>11907</v>
      </c>
      <c r="N509">
        <v>10371</v>
      </c>
      <c r="O509">
        <v>8120</v>
      </c>
      <c r="P509">
        <v>7098</v>
      </c>
      <c r="Q509">
        <v>5340</v>
      </c>
      <c r="R509">
        <v>5104</v>
      </c>
      <c r="S509">
        <v>4711</v>
      </c>
      <c r="T509">
        <v>4537</v>
      </c>
      <c r="U509">
        <v>2904</v>
      </c>
      <c r="V509">
        <v>2901</v>
      </c>
      <c r="W509">
        <v>2736</v>
      </c>
      <c r="X509">
        <v>2560</v>
      </c>
      <c r="Y509">
        <v>2301</v>
      </c>
      <c r="Z509">
        <v>2284</v>
      </c>
      <c r="AA509">
        <v>2159</v>
      </c>
      <c r="AB509">
        <v>2114</v>
      </c>
      <c r="AC509">
        <v>1427</v>
      </c>
      <c r="AD509">
        <v>1413</v>
      </c>
      <c r="AE509">
        <v>1225</v>
      </c>
      <c r="AF509">
        <v>1150</v>
      </c>
      <c r="AG509">
        <v>1011</v>
      </c>
      <c r="AH509">
        <v>859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1258342</v>
      </c>
    </row>
    <row r="510" spans="1:51" hidden="1" x14ac:dyDescent="0.2">
      <c r="A510" t="s">
        <v>29</v>
      </c>
      <c r="C510">
        <v>508</v>
      </c>
      <c r="D510">
        <v>35</v>
      </c>
      <c r="E510" t="s">
        <v>587</v>
      </c>
      <c r="F510">
        <v>2014</v>
      </c>
      <c r="H510">
        <v>654922</v>
      </c>
      <c r="I510">
        <v>483276</v>
      </c>
      <c r="J510">
        <v>15139</v>
      </c>
      <c r="K510">
        <v>13147</v>
      </c>
      <c r="L510">
        <v>12699</v>
      </c>
      <c r="M510">
        <v>6750</v>
      </c>
      <c r="N510">
        <v>6250</v>
      </c>
      <c r="O510">
        <v>5796</v>
      </c>
      <c r="P510">
        <v>4963</v>
      </c>
      <c r="Q510">
        <v>4316</v>
      </c>
      <c r="R510">
        <v>3527</v>
      </c>
      <c r="S510">
        <v>3398</v>
      </c>
      <c r="T510">
        <v>2726</v>
      </c>
      <c r="U510">
        <v>2700</v>
      </c>
      <c r="V510">
        <v>2619</v>
      </c>
      <c r="W510">
        <v>2521</v>
      </c>
      <c r="X510">
        <v>2215</v>
      </c>
      <c r="Y510">
        <v>2184</v>
      </c>
      <c r="Z510">
        <v>1657</v>
      </c>
      <c r="AA510">
        <v>1596</v>
      </c>
      <c r="AB510">
        <v>1562</v>
      </c>
      <c r="AC510">
        <v>1527</v>
      </c>
      <c r="AD510">
        <v>1507</v>
      </c>
      <c r="AE510">
        <v>1405</v>
      </c>
      <c r="AF510">
        <v>1365</v>
      </c>
      <c r="AG510">
        <v>1329</v>
      </c>
      <c r="AH510">
        <v>1143</v>
      </c>
      <c r="AI510">
        <v>1086</v>
      </c>
      <c r="AJ510">
        <v>1026</v>
      </c>
      <c r="AK510">
        <v>962</v>
      </c>
      <c r="AL510">
        <v>937</v>
      </c>
      <c r="AM510">
        <v>922</v>
      </c>
      <c r="AN510">
        <v>817</v>
      </c>
      <c r="AO510">
        <v>741</v>
      </c>
      <c r="AP510">
        <v>729</v>
      </c>
      <c r="AQ510">
        <v>724</v>
      </c>
      <c r="AR510">
        <v>662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1250845</v>
      </c>
    </row>
    <row r="511" spans="1:51" hidden="1" x14ac:dyDescent="0.2">
      <c r="A511" t="s">
        <v>29</v>
      </c>
      <c r="C511">
        <v>509</v>
      </c>
      <c r="D511">
        <v>28</v>
      </c>
      <c r="E511" t="s">
        <v>588</v>
      </c>
      <c r="F511">
        <v>2014</v>
      </c>
      <c r="H511">
        <v>503514</v>
      </c>
      <c r="I511">
        <v>502297</v>
      </c>
      <c r="J511">
        <v>20255</v>
      </c>
      <c r="K511">
        <v>12308</v>
      </c>
      <c r="L511">
        <v>10797</v>
      </c>
      <c r="M511">
        <v>10600</v>
      </c>
      <c r="N511">
        <v>9955</v>
      </c>
      <c r="O511">
        <v>7091</v>
      </c>
      <c r="P511">
        <v>5868</v>
      </c>
      <c r="Q511">
        <v>5524</v>
      </c>
      <c r="R511">
        <v>5497</v>
      </c>
      <c r="S511">
        <v>4718</v>
      </c>
      <c r="T511">
        <v>3911</v>
      </c>
      <c r="U511">
        <v>3732</v>
      </c>
      <c r="V511">
        <v>3670</v>
      </c>
      <c r="W511">
        <v>3090</v>
      </c>
      <c r="X511">
        <v>2409</v>
      </c>
      <c r="Y511">
        <v>2268</v>
      </c>
      <c r="Z511">
        <v>2167</v>
      </c>
      <c r="AA511">
        <v>1665</v>
      </c>
      <c r="AB511">
        <v>1628</v>
      </c>
      <c r="AC511">
        <v>1523</v>
      </c>
      <c r="AD511">
        <v>1395</v>
      </c>
      <c r="AE511">
        <v>1338</v>
      </c>
      <c r="AF511">
        <v>1279</v>
      </c>
      <c r="AG511">
        <v>1053</v>
      </c>
      <c r="AH511">
        <v>904</v>
      </c>
      <c r="AI511">
        <v>753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1131209</v>
      </c>
    </row>
    <row r="512" spans="1:51" hidden="1" x14ac:dyDescent="0.2">
      <c r="A512" t="s">
        <v>29</v>
      </c>
      <c r="C512">
        <v>510</v>
      </c>
      <c r="D512">
        <v>9</v>
      </c>
      <c r="E512" t="s">
        <v>589</v>
      </c>
      <c r="F512">
        <v>2014</v>
      </c>
      <c r="H512">
        <v>385829</v>
      </c>
      <c r="I512">
        <v>261470</v>
      </c>
      <c r="J512">
        <v>38772</v>
      </c>
      <c r="K512">
        <v>33883</v>
      </c>
      <c r="L512">
        <v>16903</v>
      </c>
      <c r="M512">
        <v>9774</v>
      </c>
      <c r="N512">
        <v>8966</v>
      </c>
      <c r="O512">
        <v>8136</v>
      </c>
      <c r="P512">
        <v>6180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769913</v>
      </c>
    </row>
    <row r="513" spans="1:51" hidden="1" x14ac:dyDescent="0.2">
      <c r="A513" t="s">
        <v>29</v>
      </c>
      <c r="C513">
        <v>511</v>
      </c>
      <c r="D513">
        <v>11</v>
      </c>
      <c r="E513" t="s">
        <v>590</v>
      </c>
      <c r="F513">
        <v>2014</v>
      </c>
      <c r="H513">
        <v>465215</v>
      </c>
      <c r="I513">
        <v>430057</v>
      </c>
      <c r="J513">
        <v>31917</v>
      </c>
      <c r="K513">
        <v>23482</v>
      </c>
      <c r="L513">
        <v>14139</v>
      </c>
      <c r="M513">
        <v>10606</v>
      </c>
      <c r="N513">
        <v>9391</v>
      </c>
      <c r="O513">
        <v>8969</v>
      </c>
      <c r="P513">
        <v>8963</v>
      </c>
      <c r="Q513">
        <v>7586</v>
      </c>
      <c r="R513">
        <v>6618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1016943</v>
      </c>
    </row>
    <row r="514" spans="1:51" hidden="1" x14ac:dyDescent="0.2">
      <c r="A514" t="s">
        <v>30</v>
      </c>
      <c r="C514">
        <v>512</v>
      </c>
      <c r="D514">
        <v>12</v>
      </c>
      <c r="E514" t="s">
        <v>591</v>
      </c>
      <c r="F514">
        <v>2014</v>
      </c>
      <c r="H514">
        <v>379507</v>
      </c>
      <c r="I514">
        <v>338170</v>
      </c>
      <c r="J514">
        <v>97374</v>
      </c>
      <c r="K514">
        <v>58034</v>
      </c>
      <c r="L514">
        <v>19875</v>
      </c>
      <c r="M514">
        <v>16354</v>
      </c>
      <c r="N514">
        <v>8686</v>
      </c>
      <c r="O514">
        <v>7906</v>
      </c>
      <c r="P514">
        <v>7661</v>
      </c>
      <c r="Q514">
        <v>6761</v>
      </c>
      <c r="R514">
        <v>6460</v>
      </c>
      <c r="S514">
        <v>4775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951563</v>
      </c>
    </row>
    <row r="515" spans="1:51" hidden="1" x14ac:dyDescent="0.2">
      <c r="A515" t="s">
        <v>30</v>
      </c>
      <c r="C515">
        <v>513</v>
      </c>
      <c r="D515">
        <v>15</v>
      </c>
      <c r="E515" t="s">
        <v>592</v>
      </c>
      <c r="F515">
        <v>2014</v>
      </c>
      <c r="H515">
        <v>335815</v>
      </c>
      <c r="I515">
        <v>296785</v>
      </c>
      <c r="J515">
        <v>158122</v>
      </c>
      <c r="K515">
        <v>26442</v>
      </c>
      <c r="L515">
        <v>18325</v>
      </c>
      <c r="M515">
        <v>10347</v>
      </c>
      <c r="N515">
        <v>10283</v>
      </c>
      <c r="O515">
        <v>9436</v>
      </c>
      <c r="P515">
        <v>9059</v>
      </c>
      <c r="Q515">
        <v>6284</v>
      </c>
      <c r="R515">
        <v>5813</v>
      </c>
      <c r="S515">
        <v>4567</v>
      </c>
      <c r="T515">
        <v>4310</v>
      </c>
      <c r="U515">
        <v>3739</v>
      </c>
      <c r="V515">
        <v>3733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903060</v>
      </c>
    </row>
    <row r="516" spans="1:51" hidden="1" x14ac:dyDescent="0.2">
      <c r="A516" t="s">
        <v>30</v>
      </c>
      <c r="C516">
        <v>514</v>
      </c>
      <c r="D516">
        <v>17</v>
      </c>
      <c r="E516" t="s">
        <v>593</v>
      </c>
      <c r="F516">
        <v>2014</v>
      </c>
      <c r="H516">
        <v>380500</v>
      </c>
      <c r="I516">
        <v>319818</v>
      </c>
      <c r="J516">
        <v>193506</v>
      </c>
      <c r="K516">
        <v>28246</v>
      </c>
      <c r="L516">
        <v>22349</v>
      </c>
      <c r="M516">
        <v>20871</v>
      </c>
      <c r="N516">
        <v>14034</v>
      </c>
      <c r="O516">
        <v>12410</v>
      </c>
      <c r="P516">
        <v>10998</v>
      </c>
      <c r="Q516">
        <v>9059</v>
      </c>
      <c r="R516">
        <v>7447</v>
      </c>
      <c r="S516">
        <v>7278</v>
      </c>
      <c r="T516">
        <v>5132</v>
      </c>
      <c r="U516">
        <v>5080</v>
      </c>
      <c r="V516">
        <v>4466</v>
      </c>
      <c r="W516">
        <v>4344</v>
      </c>
      <c r="X516">
        <v>3904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1049442</v>
      </c>
    </row>
    <row r="517" spans="1:51" hidden="1" x14ac:dyDescent="0.2">
      <c r="A517" t="s">
        <v>30</v>
      </c>
      <c r="C517">
        <v>515</v>
      </c>
      <c r="D517">
        <v>21</v>
      </c>
      <c r="E517" t="s">
        <v>594</v>
      </c>
      <c r="F517">
        <v>2014</v>
      </c>
      <c r="H517">
        <v>295862</v>
      </c>
      <c r="I517">
        <v>117836</v>
      </c>
      <c r="J517">
        <v>104176</v>
      </c>
      <c r="K517">
        <v>35674</v>
      </c>
      <c r="L517">
        <v>29754</v>
      </c>
      <c r="M517">
        <v>21261</v>
      </c>
      <c r="N517">
        <v>17980</v>
      </c>
      <c r="O517">
        <v>14929</v>
      </c>
      <c r="P517">
        <v>10771</v>
      </c>
      <c r="Q517">
        <v>8341</v>
      </c>
      <c r="R517">
        <v>7841</v>
      </c>
      <c r="S517">
        <v>6845</v>
      </c>
      <c r="T517">
        <v>5843</v>
      </c>
      <c r="U517">
        <v>5791</v>
      </c>
      <c r="V517">
        <v>5783</v>
      </c>
      <c r="W517">
        <v>5743</v>
      </c>
      <c r="X517">
        <v>4725</v>
      </c>
      <c r="Y517">
        <v>4647</v>
      </c>
      <c r="Z517">
        <v>4209</v>
      </c>
      <c r="AA517">
        <v>2944</v>
      </c>
      <c r="AB517">
        <v>2016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712971</v>
      </c>
    </row>
    <row r="518" spans="1:51" hidden="1" x14ac:dyDescent="0.2">
      <c r="A518" t="s">
        <v>30</v>
      </c>
      <c r="C518">
        <v>516</v>
      </c>
      <c r="D518">
        <v>21</v>
      </c>
      <c r="E518" t="s">
        <v>595</v>
      </c>
      <c r="F518">
        <v>2014</v>
      </c>
      <c r="H518">
        <v>365410</v>
      </c>
      <c r="I518">
        <v>266756</v>
      </c>
      <c r="J518">
        <v>160638</v>
      </c>
      <c r="K518">
        <v>60330</v>
      </c>
      <c r="L518">
        <v>25522</v>
      </c>
      <c r="M518">
        <v>20669</v>
      </c>
      <c r="N518">
        <v>18727</v>
      </c>
      <c r="O518">
        <v>12785</v>
      </c>
      <c r="P518">
        <v>12459</v>
      </c>
      <c r="Q518">
        <v>11880</v>
      </c>
      <c r="R518">
        <v>11117</v>
      </c>
      <c r="S518">
        <v>7838</v>
      </c>
      <c r="T518">
        <v>6992</v>
      </c>
      <c r="U518">
        <v>6966</v>
      </c>
      <c r="V518">
        <v>6712</v>
      </c>
      <c r="W518">
        <v>6334</v>
      </c>
      <c r="X518">
        <v>6141</v>
      </c>
      <c r="Y518">
        <v>5996</v>
      </c>
      <c r="Z518">
        <v>4516</v>
      </c>
      <c r="AA518">
        <v>4245</v>
      </c>
      <c r="AB518">
        <v>2873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1024906</v>
      </c>
    </row>
    <row r="519" spans="1:51" hidden="1" x14ac:dyDescent="0.2">
      <c r="A519" t="s">
        <v>30</v>
      </c>
      <c r="C519">
        <v>517</v>
      </c>
      <c r="D519">
        <v>18</v>
      </c>
      <c r="E519" t="s">
        <v>596</v>
      </c>
      <c r="F519">
        <v>2014</v>
      </c>
      <c r="H519">
        <v>391913</v>
      </c>
      <c r="I519">
        <v>351600</v>
      </c>
      <c r="J519">
        <v>57380</v>
      </c>
      <c r="K519">
        <v>55531</v>
      </c>
      <c r="L519">
        <v>40010</v>
      </c>
      <c r="M519">
        <v>13132</v>
      </c>
      <c r="N519">
        <v>11355</v>
      </c>
      <c r="O519">
        <v>7071</v>
      </c>
      <c r="P519">
        <v>6406</v>
      </c>
      <c r="Q519">
        <v>6341</v>
      </c>
      <c r="R519">
        <v>5072</v>
      </c>
      <c r="S519">
        <v>4879</v>
      </c>
      <c r="T519">
        <v>4325</v>
      </c>
      <c r="U519">
        <v>3660</v>
      </c>
      <c r="V519">
        <v>3512</v>
      </c>
      <c r="W519">
        <v>2988</v>
      </c>
      <c r="X519">
        <v>2825</v>
      </c>
      <c r="Y519">
        <v>1997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969997</v>
      </c>
    </row>
    <row r="520" spans="1:51" hidden="1" x14ac:dyDescent="0.2">
      <c r="A520" t="s">
        <v>30</v>
      </c>
      <c r="C520">
        <v>518</v>
      </c>
      <c r="D520">
        <v>32</v>
      </c>
      <c r="E520" t="s">
        <v>597</v>
      </c>
      <c r="F520">
        <v>2014</v>
      </c>
      <c r="H520">
        <v>543491</v>
      </c>
      <c r="I520">
        <v>250537</v>
      </c>
      <c r="J520">
        <v>110185</v>
      </c>
      <c r="K520">
        <v>90926</v>
      </c>
      <c r="L520">
        <v>29937</v>
      </c>
      <c r="M520">
        <v>21277</v>
      </c>
      <c r="N520">
        <v>13200</v>
      </c>
      <c r="O520">
        <v>8948</v>
      </c>
      <c r="P520">
        <v>8580</v>
      </c>
      <c r="Q520">
        <v>8455</v>
      </c>
      <c r="R520">
        <v>7675</v>
      </c>
      <c r="S520">
        <v>5441</v>
      </c>
      <c r="T520">
        <v>4531</v>
      </c>
      <c r="U520">
        <v>4169</v>
      </c>
      <c r="V520">
        <v>3814</v>
      </c>
      <c r="W520">
        <v>3413</v>
      </c>
      <c r="X520">
        <v>3120</v>
      </c>
      <c r="Y520">
        <v>3094</v>
      </c>
      <c r="Z520">
        <v>3000</v>
      </c>
      <c r="AA520">
        <v>2518</v>
      </c>
      <c r="AB520">
        <v>2104</v>
      </c>
      <c r="AC520">
        <v>2052</v>
      </c>
      <c r="AD520">
        <v>1888</v>
      </c>
      <c r="AE520">
        <v>1537</v>
      </c>
      <c r="AF520">
        <v>1516</v>
      </c>
      <c r="AG520">
        <v>1486</v>
      </c>
      <c r="AH520">
        <v>1457</v>
      </c>
      <c r="AI520">
        <v>1359</v>
      </c>
      <c r="AJ520">
        <v>1226</v>
      </c>
      <c r="AK520">
        <v>1190</v>
      </c>
      <c r="AL520">
        <v>965</v>
      </c>
      <c r="AM520">
        <v>811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1143902</v>
      </c>
    </row>
    <row r="521" spans="1:51" hidden="1" x14ac:dyDescent="0.2">
      <c r="A521" t="s">
        <v>30</v>
      </c>
      <c r="C521">
        <v>519</v>
      </c>
      <c r="D521">
        <v>29</v>
      </c>
      <c r="E521" t="s">
        <v>598</v>
      </c>
      <c r="F521">
        <v>2014</v>
      </c>
      <c r="H521">
        <v>448729</v>
      </c>
      <c r="I521">
        <v>249426</v>
      </c>
      <c r="J521">
        <v>142560</v>
      </c>
      <c r="K521">
        <v>67712</v>
      </c>
      <c r="L521">
        <v>46126</v>
      </c>
      <c r="M521">
        <v>14898</v>
      </c>
      <c r="N521">
        <v>10178</v>
      </c>
      <c r="O521">
        <v>8497</v>
      </c>
      <c r="P521">
        <v>6900</v>
      </c>
      <c r="Q521">
        <v>4696</v>
      </c>
      <c r="R521">
        <v>4409</v>
      </c>
      <c r="S521">
        <v>4240</v>
      </c>
      <c r="T521">
        <v>4190</v>
      </c>
      <c r="U521">
        <v>4085</v>
      </c>
      <c r="V521">
        <v>3877</v>
      </c>
      <c r="W521">
        <v>3823</v>
      </c>
      <c r="X521">
        <v>3411</v>
      </c>
      <c r="Y521">
        <v>2889</v>
      </c>
      <c r="Z521">
        <v>2502</v>
      </c>
      <c r="AA521">
        <v>2195</v>
      </c>
      <c r="AB521">
        <v>2130</v>
      </c>
      <c r="AC521">
        <v>2083</v>
      </c>
      <c r="AD521">
        <v>1987</v>
      </c>
      <c r="AE521">
        <v>1605</v>
      </c>
      <c r="AF521">
        <v>1504</v>
      </c>
      <c r="AG521">
        <v>1366</v>
      </c>
      <c r="AH521">
        <v>1296</v>
      </c>
      <c r="AI521">
        <v>1250</v>
      </c>
      <c r="AJ521">
        <v>1219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1049783</v>
      </c>
    </row>
    <row r="522" spans="1:51" hidden="1" x14ac:dyDescent="0.2">
      <c r="A522" t="s">
        <v>30</v>
      </c>
      <c r="C522">
        <v>520</v>
      </c>
      <c r="D522">
        <v>16</v>
      </c>
      <c r="E522" t="s">
        <v>599</v>
      </c>
      <c r="F522">
        <v>2014</v>
      </c>
      <c r="H522">
        <v>464153</v>
      </c>
      <c r="I522">
        <v>364277</v>
      </c>
      <c r="J522">
        <v>138109</v>
      </c>
      <c r="K522">
        <v>15629</v>
      </c>
      <c r="L522">
        <v>12632</v>
      </c>
      <c r="M522">
        <v>7145</v>
      </c>
      <c r="N522">
        <v>5655</v>
      </c>
      <c r="O522">
        <v>5406</v>
      </c>
      <c r="P522">
        <v>5378</v>
      </c>
      <c r="Q522">
        <v>5300</v>
      </c>
      <c r="R522">
        <v>4822</v>
      </c>
      <c r="S522">
        <v>4606</v>
      </c>
      <c r="T522">
        <v>4485</v>
      </c>
      <c r="U522">
        <v>4429</v>
      </c>
      <c r="V522">
        <v>3700</v>
      </c>
      <c r="W522">
        <v>3414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1049140</v>
      </c>
    </row>
    <row r="523" spans="1:51" hidden="1" x14ac:dyDescent="0.2">
      <c r="A523" t="s">
        <v>30</v>
      </c>
      <c r="C523">
        <v>521</v>
      </c>
      <c r="D523">
        <v>13</v>
      </c>
      <c r="E523" t="s">
        <v>600</v>
      </c>
      <c r="F523">
        <v>2014</v>
      </c>
      <c r="H523">
        <v>303131</v>
      </c>
      <c r="I523">
        <v>215607</v>
      </c>
      <c r="J523">
        <v>111796</v>
      </c>
      <c r="K523">
        <v>35681</v>
      </c>
      <c r="L523">
        <v>27037</v>
      </c>
      <c r="M523">
        <v>25547</v>
      </c>
      <c r="N523">
        <v>16952</v>
      </c>
      <c r="O523">
        <v>12877</v>
      </c>
      <c r="P523">
        <v>11507</v>
      </c>
      <c r="Q523">
        <v>9303</v>
      </c>
      <c r="R523">
        <v>8895</v>
      </c>
      <c r="S523">
        <v>8607</v>
      </c>
      <c r="T523">
        <v>8346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795286</v>
      </c>
    </row>
    <row r="524" spans="1:51" hidden="1" x14ac:dyDescent="0.2">
      <c r="A524" t="s">
        <v>30</v>
      </c>
      <c r="C524">
        <v>522</v>
      </c>
      <c r="D524">
        <v>15</v>
      </c>
      <c r="E524" t="s">
        <v>601</v>
      </c>
      <c r="F524">
        <v>2014</v>
      </c>
      <c r="H524">
        <v>269185</v>
      </c>
      <c r="I524">
        <v>176937</v>
      </c>
      <c r="J524">
        <v>147017</v>
      </c>
      <c r="K524">
        <v>27158</v>
      </c>
      <c r="L524">
        <v>24514</v>
      </c>
      <c r="M524">
        <v>23816</v>
      </c>
      <c r="N524">
        <v>13566</v>
      </c>
      <c r="O524">
        <v>11822</v>
      </c>
      <c r="P524">
        <v>11364</v>
      </c>
      <c r="Q524">
        <v>6596</v>
      </c>
      <c r="R524">
        <v>6407</v>
      </c>
      <c r="S524">
        <v>4958</v>
      </c>
      <c r="T524">
        <v>4841</v>
      </c>
      <c r="U524">
        <v>4425</v>
      </c>
      <c r="V524">
        <v>4349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736955</v>
      </c>
    </row>
    <row r="525" spans="1:51" hidden="1" x14ac:dyDescent="0.2">
      <c r="A525" t="s">
        <v>30</v>
      </c>
      <c r="C525">
        <v>523</v>
      </c>
      <c r="D525">
        <v>10</v>
      </c>
      <c r="E525" t="s">
        <v>602</v>
      </c>
      <c r="F525">
        <v>2014</v>
      </c>
      <c r="H525">
        <v>226666</v>
      </c>
      <c r="I525">
        <v>220177</v>
      </c>
      <c r="J525">
        <v>118355</v>
      </c>
      <c r="K525">
        <v>26109</v>
      </c>
      <c r="L525">
        <v>16764</v>
      </c>
      <c r="M525">
        <v>13252</v>
      </c>
      <c r="N525">
        <v>11794</v>
      </c>
      <c r="O525">
        <v>6436</v>
      </c>
      <c r="P525">
        <v>6037</v>
      </c>
      <c r="Q525">
        <v>5870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651460</v>
      </c>
    </row>
    <row r="526" spans="1:51" hidden="1" x14ac:dyDescent="0.2">
      <c r="A526" t="s">
        <v>30</v>
      </c>
      <c r="C526">
        <v>524</v>
      </c>
      <c r="D526">
        <v>14</v>
      </c>
      <c r="E526" t="s">
        <v>603</v>
      </c>
      <c r="F526">
        <v>2014</v>
      </c>
      <c r="H526">
        <v>476513</v>
      </c>
      <c r="I526">
        <v>212571</v>
      </c>
      <c r="J526">
        <v>156832</v>
      </c>
      <c r="K526">
        <v>37043</v>
      </c>
      <c r="L526">
        <v>20481</v>
      </c>
      <c r="M526">
        <v>18287</v>
      </c>
      <c r="N526">
        <v>9592</v>
      </c>
      <c r="O526">
        <v>9145</v>
      </c>
      <c r="P526">
        <v>8386</v>
      </c>
      <c r="Q526">
        <v>7538</v>
      </c>
      <c r="R526">
        <v>5879</v>
      </c>
      <c r="S526">
        <v>5648</v>
      </c>
      <c r="T526">
        <v>4976</v>
      </c>
      <c r="U526">
        <v>4432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977323</v>
      </c>
    </row>
    <row r="527" spans="1:51" hidden="1" x14ac:dyDescent="0.2">
      <c r="A527" t="s">
        <v>30</v>
      </c>
      <c r="C527">
        <v>525</v>
      </c>
      <c r="D527">
        <v>21</v>
      </c>
      <c r="E527" t="s">
        <v>604</v>
      </c>
      <c r="F527">
        <v>2014</v>
      </c>
      <c r="H527">
        <v>406931</v>
      </c>
      <c r="I527">
        <v>247803</v>
      </c>
      <c r="J527">
        <v>156186</v>
      </c>
      <c r="K527">
        <v>30408</v>
      </c>
      <c r="L527">
        <v>30326</v>
      </c>
      <c r="M527">
        <v>14555</v>
      </c>
      <c r="N527">
        <v>8453</v>
      </c>
      <c r="O527">
        <v>8360</v>
      </c>
      <c r="P527">
        <v>8159</v>
      </c>
      <c r="Q527">
        <v>8085</v>
      </c>
      <c r="R527">
        <v>7140</v>
      </c>
      <c r="S527">
        <v>6827</v>
      </c>
      <c r="T527">
        <v>5152</v>
      </c>
      <c r="U527">
        <v>4481</v>
      </c>
      <c r="V527">
        <v>4423</v>
      </c>
      <c r="W527">
        <v>3752</v>
      </c>
      <c r="X527">
        <v>3540</v>
      </c>
      <c r="Y527">
        <v>3365</v>
      </c>
      <c r="Z527">
        <v>3189</v>
      </c>
      <c r="AA527">
        <v>3076</v>
      </c>
      <c r="AB527">
        <v>2941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967152</v>
      </c>
    </row>
    <row r="528" spans="1:51" hidden="1" x14ac:dyDescent="0.2">
      <c r="A528" t="s">
        <v>31</v>
      </c>
      <c r="C528">
        <v>526</v>
      </c>
      <c r="D528">
        <v>17</v>
      </c>
      <c r="E528" t="s">
        <v>605</v>
      </c>
      <c r="F528">
        <v>2014</v>
      </c>
      <c r="H528">
        <v>446733</v>
      </c>
      <c r="I528">
        <v>254230</v>
      </c>
      <c r="J528">
        <v>24043</v>
      </c>
      <c r="K528">
        <v>11538</v>
      </c>
      <c r="L528">
        <v>10762</v>
      </c>
      <c r="M528">
        <v>6672</v>
      </c>
      <c r="N528">
        <v>6577</v>
      </c>
      <c r="O528">
        <v>2302</v>
      </c>
      <c r="P528">
        <v>2007</v>
      </c>
      <c r="Q528">
        <v>1958</v>
      </c>
      <c r="R528">
        <v>1935</v>
      </c>
      <c r="S528">
        <v>1629</v>
      </c>
      <c r="T528">
        <v>1619</v>
      </c>
      <c r="U528">
        <v>1554</v>
      </c>
      <c r="V528">
        <v>900</v>
      </c>
      <c r="W528">
        <v>878</v>
      </c>
      <c r="X528">
        <v>877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776214</v>
      </c>
    </row>
    <row r="529" spans="1:51" hidden="1" x14ac:dyDescent="0.2">
      <c r="A529" t="s">
        <v>31</v>
      </c>
      <c r="C529">
        <v>527</v>
      </c>
      <c r="D529">
        <v>11</v>
      </c>
      <c r="E529" t="s">
        <v>606</v>
      </c>
      <c r="F529">
        <v>2014</v>
      </c>
      <c r="H529">
        <v>405690</v>
      </c>
      <c r="I529">
        <v>221164</v>
      </c>
      <c r="J529">
        <v>9250</v>
      </c>
      <c r="K529">
        <v>8659</v>
      </c>
      <c r="L529">
        <v>7470</v>
      </c>
      <c r="M529">
        <v>6727</v>
      </c>
      <c r="N529">
        <v>6699</v>
      </c>
      <c r="O529">
        <v>6525</v>
      </c>
      <c r="P529">
        <v>4510</v>
      </c>
      <c r="Q529">
        <v>3051</v>
      </c>
      <c r="R529">
        <v>2279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682024</v>
      </c>
    </row>
    <row r="530" spans="1:51" hidden="1" x14ac:dyDescent="0.2">
      <c r="A530" t="s">
        <v>31</v>
      </c>
      <c r="C530">
        <v>528</v>
      </c>
      <c r="D530">
        <v>10</v>
      </c>
      <c r="E530" t="s">
        <v>607</v>
      </c>
      <c r="F530">
        <v>2014</v>
      </c>
      <c r="H530">
        <v>348186</v>
      </c>
      <c r="I530">
        <v>252496</v>
      </c>
      <c r="J530">
        <v>15245</v>
      </c>
      <c r="K530">
        <v>14150</v>
      </c>
      <c r="L530">
        <v>8387</v>
      </c>
      <c r="M530">
        <v>7916</v>
      </c>
      <c r="N530">
        <v>3857</v>
      </c>
      <c r="O530">
        <v>2392</v>
      </c>
      <c r="P530">
        <v>2045</v>
      </c>
      <c r="Q530">
        <v>1851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656525</v>
      </c>
    </row>
    <row r="531" spans="1:51" hidden="1" x14ac:dyDescent="0.2">
      <c r="A531" t="s">
        <v>31</v>
      </c>
      <c r="C531">
        <v>529</v>
      </c>
      <c r="D531">
        <v>16</v>
      </c>
      <c r="E531" t="s">
        <v>608</v>
      </c>
      <c r="F531">
        <v>2014</v>
      </c>
      <c r="H531">
        <v>636769</v>
      </c>
      <c r="I531">
        <v>352052</v>
      </c>
      <c r="J531">
        <v>59245</v>
      </c>
      <c r="K531">
        <v>13472</v>
      </c>
      <c r="L531">
        <v>10328</v>
      </c>
      <c r="M531">
        <v>9825</v>
      </c>
      <c r="N531">
        <v>3392</v>
      </c>
      <c r="O531">
        <v>3180</v>
      </c>
      <c r="P531">
        <v>2706</v>
      </c>
      <c r="Q531">
        <v>2529</v>
      </c>
      <c r="R531">
        <v>1869</v>
      </c>
      <c r="S531">
        <v>1635</v>
      </c>
      <c r="T531">
        <v>1530</v>
      </c>
      <c r="U531">
        <v>1064</v>
      </c>
      <c r="V531">
        <v>1037</v>
      </c>
      <c r="W531">
        <v>802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1101435</v>
      </c>
    </row>
    <row r="532" spans="1:51" hidden="1" x14ac:dyDescent="0.2">
      <c r="A532" t="s">
        <v>31</v>
      </c>
      <c r="C532">
        <v>530</v>
      </c>
      <c r="D532">
        <v>25</v>
      </c>
      <c r="E532" t="s">
        <v>609</v>
      </c>
      <c r="F532">
        <v>2014</v>
      </c>
      <c r="H532">
        <v>592320</v>
      </c>
      <c r="I532">
        <v>414498</v>
      </c>
      <c r="J532">
        <v>113663</v>
      </c>
      <c r="K532">
        <v>18170</v>
      </c>
      <c r="L532">
        <v>5765</v>
      </c>
      <c r="M532">
        <v>3741</v>
      </c>
      <c r="N532">
        <v>3740</v>
      </c>
      <c r="O532">
        <v>3049</v>
      </c>
      <c r="P532">
        <v>2769</v>
      </c>
      <c r="Q532">
        <v>2535</v>
      </c>
      <c r="R532">
        <v>2067</v>
      </c>
      <c r="S532">
        <v>1888</v>
      </c>
      <c r="T532">
        <v>1682</v>
      </c>
      <c r="U532">
        <v>1117</v>
      </c>
      <c r="V532">
        <v>1051</v>
      </c>
      <c r="W532">
        <v>1043</v>
      </c>
      <c r="X532">
        <v>1015</v>
      </c>
      <c r="Y532">
        <v>915</v>
      </c>
      <c r="Z532">
        <v>820</v>
      </c>
      <c r="AA532">
        <v>765</v>
      </c>
      <c r="AB532">
        <v>710</v>
      </c>
      <c r="AC532">
        <v>664</v>
      </c>
      <c r="AD532">
        <v>637</v>
      </c>
      <c r="AE532">
        <v>614</v>
      </c>
      <c r="AF532">
        <v>454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1175692</v>
      </c>
    </row>
    <row r="533" spans="1:51" hidden="1" x14ac:dyDescent="0.2">
      <c r="A533" t="s">
        <v>32</v>
      </c>
      <c r="C533">
        <v>531</v>
      </c>
      <c r="D533">
        <v>16</v>
      </c>
      <c r="E533" t="s">
        <v>610</v>
      </c>
      <c r="F533">
        <v>2014</v>
      </c>
      <c r="H533">
        <v>90969</v>
      </c>
      <c r="I533">
        <v>83157</v>
      </c>
      <c r="J533">
        <v>3737</v>
      </c>
      <c r="K533">
        <v>2283</v>
      </c>
      <c r="L533">
        <v>1777</v>
      </c>
      <c r="M533">
        <v>1587</v>
      </c>
      <c r="N533">
        <v>1564</v>
      </c>
      <c r="O533">
        <v>1151</v>
      </c>
      <c r="P533">
        <v>1139</v>
      </c>
      <c r="Q533">
        <v>847</v>
      </c>
      <c r="R533">
        <v>436</v>
      </c>
      <c r="S533">
        <v>429</v>
      </c>
      <c r="T533">
        <v>379</v>
      </c>
      <c r="U533">
        <v>334</v>
      </c>
      <c r="V533">
        <v>314</v>
      </c>
      <c r="W533">
        <v>225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190328</v>
      </c>
    </row>
    <row r="534" spans="1:51" hidden="1" x14ac:dyDescent="0.2">
      <c r="A534" t="s">
        <v>33</v>
      </c>
      <c r="C534">
        <v>532</v>
      </c>
      <c r="D534">
        <v>18</v>
      </c>
      <c r="E534" t="s">
        <v>33</v>
      </c>
      <c r="F534">
        <v>2014</v>
      </c>
      <c r="H534">
        <v>191362</v>
      </c>
      <c r="I534">
        <v>121720</v>
      </c>
      <c r="J534">
        <v>108679</v>
      </c>
      <c r="K534">
        <v>15934</v>
      </c>
      <c r="L534">
        <v>3106</v>
      </c>
      <c r="M534">
        <v>2643</v>
      </c>
      <c r="N534">
        <v>2054</v>
      </c>
      <c r="O534">
        <v>1968</v>
      </c>
      <c r="P534">
        <v>997</v>
      </c>
      <c r="Q534">
        <v>743</v>
      </c>
      <c r="R534">
        <v>660</v>
      </c>
      <c r="S534">
        <v>640</v>
      </c>
      <c r="T534">
        <v>613</v>
      </c>
      <c r="U534">
        <v>566</v>
      </c>
      <c r="V534">
        <v>550</v>
      </c>
      <c r="W534">
        <v>434</v>
      </c>
      <c r="X534">
        <v>397</v>
      </c>
      <c r="Y534">
        <v>389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453455</v>
      </c>
    </row>
    <row r="535" spans="1:51" hidden="1" x14ac:dyDescent="0.2">
      <c r="A535" t="s">
        <v>34</v>
      </c>
      <c r="C535">
        <v>533</v>
      </c>
      <c r="D535">
        <v>12</v>
      </c>
      <c r="E535" t="s">
        <v>34</v>
      </c>
      <c r="F535">
        <v>2014</v>
      </c>
      <c r="H535">
        <v>80790</v>
      </c>
      <c r="I535">
        <v>74576</v>
      </c>
      <c r="J535">
        <v>2962</v>
      </c>
      <c r="K535">
        <v>1611</v>
      </c>
      <c r="L535">
        <v>1214</v>
      </c>
      <c r="M535">
        <v>1154</v>
      </c>
      <c r="N535">
        <v>982</v>
      </c>
      <c r="O535">
        <v>621</v>
      </c>
      <c r="P535">
        <v>418</v>
      </c>
      <c r="Q535">
        <v>378</v>
      </c>
      <c r="R535">
        <v>348</v>
      </c>
      <c r="S535">
        <v>232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165286</v>
      </c>
    </row>
    <row r="536" spans="1:51" hidden="1" x14ac:dyDescent="0.2">
      <c r="A536" t="s">
        <v>35</v>
      </c>
      <c r="C536">
        <v>534</v>
      </c>
      <c r="D536">
        <v>5</v>
      </c>
      <c r="E536" t="s">
        <v>35</v>
      </c>
      <c r="F536">
        <v>2014</v>
      </c>
      <c r="H536">
        <v>46960</v>
      </c>
      <c r="I536">
        <v>37738</v>
      </c>
      <c r="J536">
        <v>1316</v>
      </c>
      <c r="K536">
        <v>729</v>
      </c>
      <c r="L536">
        <v>490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87233</v>
      </c>
    </row>
    <row r="537" spans="1:51" hidden="1" x14ac:dyDescent="0.2">
      <c r="A537" t="s">
        <v>36</v>
      </c>
      <c r="C537">
        <v>535</v>
      </c>
      <c r="D537">
        <v>25</v>
      </c>
      <c r="E537" t="s">
        <v>611</v>
      </c>
      <c r="F537">
        <v>2014</v>
      </c>
      <c r="H537">
        <v>437938</v>
      </c>
      <c r="I537">
        <v>301618</v>
      </c>
      <c r="J537">
        <v>176206</v>
      </c>
      <c r="K537">
        <v>28605</v>
      </c>
      <c r="L537">
        <v>7746</v>
      </c>
      <c r="M537">
        <v>4534</v>
      </c>
      <c r="N537">
        <v>4505</v>
      </c>
      <c r="O537">
        <v>3531</v>
      </c>
      <c r="P537">
        <v>3390</v>
      </c>
      <c r="Q537">
        <v>1829</v>
      </c>
      <c r="R537">
        <v>1765</v>
      </c>
      <c r="S537">
        <v>1643</v>
      </c>
      <c r="T537">
        <v>1553</v>
      </c>
      <c r="U537">
        <v>1423</v>
      </c>
      <c r="V537">
        <v>881</v>
      </c>
      <c r="W537">
        <v>789</v>
      </c>
      <c r="X537">
        <v>602</v>
      </c>
      <c r="Y537">
        <v>592</v>
      </c>
      <c r="Z537">
        <v>538</v>
      </c>
      <c r="AA537">
        <v>0</v>
      </c>
      <c r="AB537">
        <v>308</v>
      </c>
      <c r="AC537">
        <v>290</v>
      </c>
      <c r="AD537">
        <v>272</v>
      </c>
      <c r="AE537">
        <v>263</v>
      </c>
      <c r="AF537">
        <v>253</v>
      </c>
      <c r="AG537">
        <v>251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981325</v>
      </c>
    </row>
    <row r="538" spans="1:51" hidden="1" x14ac:dyDescent="0.2">
      <c r="A538" t="s">
        <v>36</v>
      </c>
      <c r="C538">
        <v>536</v>
      </c>
      <c r="D538">
        <v>24</v>
      </c>
      <c r="E538" t="s">
        <v>612</v>
      </c>
      <c r="F538">
        <v>2014</v>
      </c>
      <c r="H538">
        <v>596125</v>
      </c>
      <c r="I538">
        <v>452041</v>
      </c>
      <c r="J538">
        <v>214792</v>
      </c>
      <c r="K538">
        <v>28135</v>
      </c>
      <c r="L538">
        <v>3824</v>
      </c>
      <c r="M538">
        <v>3191</v>
      </c>
      <c r="N538">
        <v>2419</v>
      </c>
      <c r="O538">
        <v>1921</v>
      </c>
      <c r="P538">
        <v>1892</v>
      </c>
      <c r="Q538">
        <v>1695</v>
      </c>
      <c r="R538">
        <v>1669</v>
      </c>
      <c r="S538">
        <v>1263</v>
      </c>
      <c r="T538">
        <v>1257</v>
      </c>
      <c r="U538">
        <v>879</v>
      </c>
      <c r="V538">
        <v>818</v>
      </c>
      <c r="W538">
        <v>784</v>
      </c>
      <c r="X538">
        <v>745</v>
      </c>
      <c r="Y538">
        <v>663</v>
      </c>
      <c r="Z538">
        <v>658</v>
      </c>
      <c r="AA538">
        <v>601</v>
      </c>
      <c r="AB538">
        <v>508</v>
      </c>
      <c r="AC538">
        <v>504</v>
      </c>
      <c r="AD538">
        <v>489</v>
      </c>
      <c r="AE538">
        <v>465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1317338</v>
      </c>
    </row>
    <row r="539" spans="1:51" hidden="1" x14ac:dyDescent="0.2">
      <c r="A539" t="s">
        <v>36</v>
      </c>
      <c r="C539">
        <v>537</v>
      </c>
      <c r="D539">
        <v>24</v>
      </c>
      <c r="E539" t="s">
        <v>613</v>
      </c>
      <c r="F539">
        <v>2014</v>
      </c>
      <c r="H539">
        <v>572202</v>
      </c>
      <c r="I539">
        <v>381739</v>
      </c>
      <c r="J539">
        <v>203240</v>
      </c>
      <c r="K539">
        <v>18575</v>
      </c>
      <c r="L539">
        <v>4975</v>
      </c>
      <c r="M539">
        <v>3894</v>
      </c>
      <c r="N539">
        <v>1708</v>
      </c>
      <c r="O539">
        <v>1515</v>
      </c>
      <c r="P539">
        <v>1153</v>
      </c>
      <c r="Q539">
        <v>978</v>
      </c>
      <c r="R539">
        <v>761</v>
      </c>
      <c r="S539">
        <v>674</v>
      </c>
      <c r="T539">
        <v>668</v>
      </c>
      <c r="U539">
        <v>527</v>
      </c>
      <c r="V539">
        <v>466</v>
      </c>
      <c r="W539">
        <v>422</v>
      </c>
      <c r="X539">
        <v>415</v>
      </c>
      <c r="Y539">
        <v>404</v>
      </c>
      <c r="Z539">
        <v>402</v>
      </c>
      <c r="AA539">
        <v>395</v>
      </c>
      <c r="AB539">
        <v>349</v>
      </c>
      <c r="AC539">
        <v>339</v>
      </c>
      <c r="AD539">
        <v>325</v>
      </c>
      <c r="AE539">
        <v>210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1196336</v>
      </c>
    </row>
    <row r="540" spans="1:51" hidden="1" x14ac:dyDescent="0.2">
      <c r="A540" t="s">
        <v>36</v>
      </c>
      <c r="C540">
        <v>538</v>
      </c>
      <c r="D540">
        <v>30</v>
      </c>
      <c r="E540" t="s">
        <v>614</v>
      </c>
      <c r="F540">
        <v>2014</v>
      </c>
      <c r="H540">
        <v>453350</v>
      </c>
      <c r="I540">
        <v>290642</v>
      </c>
      <c r="J540">
        <v>182893</v>
      </c>
      <c r="K540">
        <v>20028</v>
      </c>
      <c r="L540">
        <v>6088</v>
      </c>
      <c r="M540">
        <v>5589</v>
      </c>
      <c r="N540">
        <v>1260</v>
      </c>
      <c r="O540">
        <v>909</v>
      </c>
      <c r="P540">
        <v>887</v>
      </c>
      <c r="Q540">
        <v>862</v>
      </c>
      <c r="R540">
        <v>687</v>
      </c>
      <c r="S540">
        <v>662</v>
      </c>
      <c r="T540">
        <v>582</v>
      </c>
      <c r="U540">
        <v>532</v>
      </c>
      <c r="V540">
        <v>528</v>
      </c>
      <c r="W540">
        <v>499</v>
      </c>
      <c r="X540">
        <v>444</v>
      </c>
      <c r="Y540">
        <v>429</v>
      </c>
      <c r="Z540">
        <v>388</v>
      </c>
      <c r="AA540">
        <v>366</v>
      </c>
      <c r="AB540">
        <v>347</v>
      </c>
      <c r="AC540">
        <v>298</v>
      </c>
      <c r="AD540">
        <v>217</v>
      </c>
      <c r="AE540">
        <v>213</v>
      </c>
      <c r="AF540">
        <v>205</v>
      </c>
      <c r="AG540">
        <v>203</v>
      </c>
      <c r="AH540">
        <v>199</v>
      </c>
      <c r="AI540">
        <v>186</v>
      </c>
      <c r="AJ540">
        <v>161</v>
      </c>
      <c r="AK540">
        <v>158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969812</v>
      </c>
    </row>
    <row r="541" spans="1:51" hidden="1" x14ac:dyDescent="0.2">
      <c r="A541" t="s">
        <v>36</v>
      </c>
      <c r="C541">
        <v>539</v>
      </c>
      <c r="D541">
        <v>15</v>
      </c>
      <c r="E541" t="s">
        <v>615</v>
      </c>
      <c r="F541">
        <v>2014</v>
      </c>
      <c r="H541">
        <v>629860</v>
      </c>
      <c r="I541">
        <v>523058</v>
      </c>
      <c r="J541">
        <v>157468</v>
      </c>
      <c r="K541">
        <v>21485</v>
      </c>
      <c r="L541">
        <v>8826</v>
      </c>
      <c r="M541">
        <v>3446</v>
      </c>
      <c r="N541">
        <v>2279</v>
      </c>
      <c r="O541">
        <v>1749</v>
      </c>
      <c r="P541">
        <v>1680</v>
      </c>
      <c r="Q541">
        <v>1621</v>
      </c>
      <c r="R541">
        <v>1584</v>
      </c>
      <c r="S541">
        <v>1107</v>
      </c>
      <c r="T541">
        <v>666</v>
      </c>
      <c r="U541">
        <v>662</v>
      </c>
      <c r="V541">
        <v>545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1356036</v>
      </c>
    </row>
    <row r="542" spans="1:51" hidden="1" x14ac:dyDescent="0.2">
      <c r="A542" t="s">
        <v>36</v>
      </c>
      <c r="C542">
        <v>540</v>
      </c>
      <c r="D542">
        <v>18</v>
      </c>
      <c r="E542" t="s">
        <v>616</v>
      </c>
      <c r="F542">
        <v>2014</v>
      </c>
      <c r="H542">
        <v>651395</v>
      </c>
      <c r="I542">
        <v>382809</v>
      </c>
      <c r="J542">
        <v>193266</v>
      </c>
      <c r="K542">
        <v>84722</v>
      </c>
      <c r="L542">
        <v>8707</v>
      </c>
      <c r="M542">
        <v>7932</v>
      </c>
      <c r="N542">
        <v>5960</v>
      </c>
      <c r="O542">
        <v>3624</v>
      </c>
      <c r="P542">
        <v>3078</v>
      </c>
      <c r="Q542">
        <v>1654</v>
      </c>
      <c r="R542">
        <v>988</v>
      </c>
      <c r="S542">
        <v>805</v>
      </c>
      <c r="T542">
        <v>703</v>
      </c>
      <c r="U542">
        <v>651</v>
      </c>
      <c r="V542">
        <v>458</v>
      </c>
      <c r="W542">
        <v>451</v>
      </c>
      <c r="X542">
        <v>415</v>
      </c>
      <c r="Y542">
        <v>353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1347971</v>
      </c>
    </row>
    <row r="543" spans="1:51" hidden="1" x14ac:dyDescent="0.2">
      <c r="A543" t="s">
        <v>36</v>
      </c>
      <c r="C543">
        <v>541</v>
      </c>
      <c r="D543">
        <v>20</v>
      </c>
      <c r="E543" t="s">
        <v>617</v>
      </c>
      <c r="F543">
        <v>2014</v>
      </c>
      <c r="H543">
        <v>497980</v>
      </c>
      <c r="I543">
        <v>390980</v>
      </c>
      <c r="J543">
        <v>125213</v>
      </c>
      <c r="K543">
        <v>56749</v>
      </c>
      <c r="L543">
        <v>10873</v>
      </c>
      <c r="M543">
        <v>4475</v>
      </c>
      <c r="N543">
        <v>4010</v>
      </c>
      <c r="O543">
        <v>2841</v>
      </c>
      <c r="P543">
        <v>1640</v>
      </c>
      <c r="Q543">
        <v>1215</v>
      </c>
      <c r="R543">
        <v>1140</v>
      </c>
      <c r="S543">
        <v>1071</v>
      </c>
      <c r="T543">
        <v>913</v>
      </c>
      <c r="U543">
        <v>803</v>
      </c>
      <c r="V543">
        <v>561</v>
      </c>
      <c r="W543">
        <v>560</v>
      </c>
      <c r="X543">
        <v>412</v>
      </c>
      <c r="Y543">
        <v>357</v>
      </c>
      <c r="Z543">
        <v>314</v>
      </c>
      <c r="AA543">
        <v>303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1102410</v>
      </c>
    </row>
    <row r="544" spans="1:51" hidden="1" x14ac:dyDescent="0.2">
      <c r="A544" t="s">
        <v>37</v>
      </c>
      <c r="C544">
        <v>542</v>
      </c>
      <c r="D544">
        <v>7</v>
      </c>
      <c r="E544" t="s">
        <v>37</v>
      </c>
      <c r="F544">
        <v>2014</v>
      </c>
      <c r="H544">
        <v>21665</v>
      </c>
      <c r="I544">
        <v>20130</v>
      </c>
      <c r="J544">
        <v>488</v>
      </c>
      <c r="K544">
        <v>465</v>
      </c>
      <c r="L544">
        <v>187</v>
      </c>
      <c r="M544">
        <v>181</v>
      </c>
      <c r="N544">
        <v>123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43239</v>
      </c>
    </row>
    <row r="545" spans="1:51" hidden="1" x14ac:dyDescent="0.2">
      <c r="A545" t="s">
        <v>38</v>
      </c>
      <c r="C545">
        <v>543</v>
      </c>
      <c r="D545">
        <v>31</v>
      </c>
      <c r="E545" t="s">
        <v>38</v>
      </c>
      <c r="F545">
        <v>2014</v>
      </c>
      <c r="H545">
        <v>255826</v>
      </c>
      <c r="I545">
        <v>194972</v>
      </c>
      <c r="J545">
        <v>132657</v>
      </c>
      <c r="K545">
        <v>60580</v>
      </c>
      <c r="L545">
        <v>22754</v>
      </c>
      <c r="M545">
        <v>22268</v>
      </c>
      <c r="N545">
        <v>12709</v>
      </c>
      <c r="O545">
        <v>8307</v>
      </c>
      <c r="P545">
        <v>5896</v>
      </c>
      <c r="Q545">
        <v>3472</v>
      </c>
      <c r="R545">
        <v>2494</v>
      </c>
      <c r="S545">
        <v>2060</v>
      </c>
      <c r="T545">
        <v>1777</v>
      </c>
      <c r="U545">
        <v>1726</v>
      </c>
      <c r="V545">
        <v>1442</v>
      </c>
      <c r="W545">
        <v>1340</v>
      </c>
      <c r="X545">
        <v>1270</v>
      </c>
      <c r="Y545">
        <v>1236</v>
      </c>
      <c r="Z545">
        <v>1144</v>
      </c>
      <c r="AA545">
        <v>767</v>
      </c>
      <c r="AB545">
        <v>747</v>
      </c>
      <c r="AC545">
        <v>746</v>
      </c>
      <c r="AD545">
        <v>610</v>
      </c>
      <c r="AE545">
        <v>497</v>
      </c>
      <c r="AF545">
        <v>477</v>
      </c>
      <c r="AG545">
        <v>467</v>
      </c>
      <c r="AH545">
        <v>465</v>
      </c>
      <c r="AI545">
        <v>438</v>
      </c>
      <c r="AJ545">
        <v>366</v>
      </c>
      <c r="AK545">
        <v>309</v>
      </c>
      <c r="AL545">
        <v>198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740017</v>
      </c>
    </row>
  </sheetData>
  <autoFilter ref="A2:AY545">
    <filterColumn colId="3">
      <filters>
        <filter val="3"/>
      </filters>
    </filterColumn>
  </autoFilter>
  <conditionalFormatting sqref="BE277">
    <cfRule type="cellIs" dxfId="3" priority="3" operator="equal">
      <formula>1</formula>
    </cfRule>
  </conditionalFormatting>
  <conditionalFormatting sqref="BF277">
    <cfRule type="cellIs" dxfId="2" priority="2" operator="equal">
      <formula>1</formula>
    </cfRule>
  </conditionalFormatting>
  <conditionalFormatting sqref="BG277">
    <cfRule type="cellIs" dxfId="1" priority="1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6"/>
  <sheetViews>
    <sheetView topLeftCell="A70" workbookViewId="0">
      <selection activeCell="I77" sqref="I77"/>
    </sheetView>
  </sheetViews>
  <sheetFormatPr defaultRowHeight="15" x14ac:dyDescent="0.25"/>
  <cols>
    <col min="1" max="16384" width="9.140625" style="2"/>
  </cols>
  <sheetData>
    <row r="1" spans="1:14" x14ac:dyDescent="0.25">
      <c r="A1" s="1" t="s">
        <v>619</v>
      </c>
    </row>
    <row r="2" spans="1:14" x14ac:dyDescent="0.25">
      <c r="A2" s="3" t="s">
        <v>620</v>
      </c>
    </row>
    <row r="3" spans="1:14" x14ac:dyDescent="0.25">
      <c r="B3" s="2" t="s">
        <v>621</v>
      </c>
      <c r="C3" s="2" t="s">
        <v>622</v>
      </c>
      <c r="D3" s="2" t="s">
        <v>623</v>
      </c>
      <c r="E3" s="2" t="s">
        <v>624</v>
      </c>
      <c r="F3" s="2" t="s">
        <v>625</v>
      </c>
      <c r="G3" s="2">
        <v>0.38890000000000002</v>
      </c>
      <c r="I3" s="2" t="s">
        <v>621</v>
      </c>
      <c r="J3" s="2" t="s">
        <v>622</v>
      </c>
      <c r="K3" s="2" t="s">
        <v>623</v>
      </c>
      <c r="L3" s="2" t="s">
        <v>626</v>
      </c>
      <c r="M3" s="2" t="s">
        <v>625</v>
      </c>
      <c r="N3" s="2">
        <v>0.47220000000000001</v>
      </c>
    </row>
    <row r="5" spans="1:14" x14ac:dyDescent="0.25">
      <c r="B5" s="2" t="s">
        <v>627</v>
      </c>
      <c r="C5" s="2" t="s">
        <v>622</v>
      </c>
      <c r="D5" s="2" t="s">
        <v>623</v>
      </c>
      <c r="E5" s="2" t="s">
        <v>624</v>
      </c>
      <c r="F5" s="2" t="s">
        <v>625</v>
      </c>
      <c r="G5" s="2">
        <v>0.30559999999999998</v>
      </c>
      <c r="I5" s="2" t="s">
        <v>627</v>
      </c>
      <c r="J5" s="2" t="s">
        <v>622</v>
      </c>
      <c r="K5" s="2" t="s">
        <v>623</v>
      </c>
      <c r="L5" s="2" t="s">
        <v>626</v>
      </c>
      <c r="M5" s="2" t="s">
        <v>625</v>
      </c>
      <c r="N5" s="2">
        <v>0.43059999999999998</v>
      </c>
    </row>
    <row r="7" spans="1:14" x14ac:dyDescent="0.25">
      <c r="B7" s="2" t="s">
        <v>628</v>
      </c>
      <c r="C7" s="2" t="s">
        <v>622</v>
      </c>
      <c r="D7" s="2" t="s">
        <v>623</v>
      </c>
      <c r="E7" s="2" t="s">
        <v>624</v>
      </c>
      <c r="F7" s="2" t="s">
        <v>625</v>
      </c>
      <c r="G7" s="2">
        <v>9.7199999999999995E-2</v>
      </c>
      <c r="I7" s="2" t="s">
        <v>628</v>
      </c>
      <c r="J7" s="2" t="s">
        <v>622</v>
      </c>
      <c r="K7" s="2" t="s">
        <v>623</v>
      </c>
      <c r="L7" s="2" t="s">
        <v>626</v>
      </c>
      <c r="M7" s="2" t="s">
        <v>625</v>
      </c>
      <c r="N7" s="2">
        <v>0.26390000000000002</v>
      </c>
    </row>
    <row r="10" spans="1:14" x14ac:dyDescent="0.25">
      <c r="C10" s="2" t="s">
        <v>23</v>
      </c>
      <c r="D10" s="2">
        <v>0.5</v>
      </c>
      <c r="E10" s="2">
        <v>0.25</v>
      </c>
      <c r="F10" s="2">
        <v>0.25</v>
      </c>
    </row>
    <row r="11" spans="1:14" x14ac:dyDescent="0.25">
      <c r="C11" s="2" t="s">
        <v>28</v>
      </c>
      <c r="D11" s="2">
        <f>17/36</f>
        <v>0.47222222222222221</v>
      </c>
      <c r="E11" s="2">
        <f>11/36</f>
        <v>0.30555555555555558</v>
      </c>
      <c r="F11" s="2">
        <f>2/9</f>
        <v>0.22222222222222221</v>
      </c>
    </row>
    <row r="12" spans="1:14" x14ac:dyDescent="0.25">
      <c r="C12" s="2" t="s">
        <v>629</v>
      </c>
      <c r="D12" s="2">
        <v>0.5</v>
      </c>
      <c r="E12" s="2">
        <v>0.5</v>
      </c>
      <c r="F12" s="2">
        <v>0</v>
      </c>
    </row>
    <row r="13" spans="1:14" x14ac:dyDescent="0.25">
      <c r="C13" s="2" t="s">
        <v>630</v>
      </c>
      <c r="D13" s="2">
        <f>17/36</f>
        <v>0.47222222222222221</v>
      </c>
      <c r="E13" s="2">
        <f>31/72</f>
        <v>0.43055555555555558</v>
      </c>
      <c r="F13" s="2">
        <f>7/72</f>
        <v>9.7222222222222224E-2</v>
      </c>
    </row>
    <row r="14" spans="1:14" x14ac:dyDescent="0.25">
      <c r="A14" s="1" t="s">
        <v>631</v>
      </c>
    </row>
    <row r="15" spans="1:14" x14ac:dyDescent="0.25">
      <c r="A15" s="3" t="s">
        <v>620</v>
      </c>
    </row>
    <row r="16" spans="1:14" x14ac:dyDescent="0.25">
      <c r="B16" s="2" t="s">
        <v>621</v>
      </c>
      <c r="C16" s="2" t="s">
        <v>622</v>
      </c>
      <c r="D16" s="2" t="s">
        <v>623</v>
      </c>
      <c r="E16" s="2" t="s">
        <v>624</v>
      </c>
      <c r="F16" s="2" t="s">
        <v>625</v>
      </c>
      <c r="G16" s="2">
        <f>MIN(D10:D13)</f>
        <v>0.47222222222222221</v>
      </c>
      <c r="I16" s="2" t="s">
        <v>621</v>
      </c>
      <c r="J16" s="2" t="s">
        <v>622</v>
      </c>
      <c r="K16" s="2" t="s">
        <v>623</v>
      </c>
      <c r="L16" s="2" t="s">
        <v>626</v>
      </c>
      <c r="M16" s="2" t="s">
        <v>625</v>
      </c>
      <c r="N16" s="2">
        <f>MAX(D10:D13)</f>
        <v>0.5</v>
      </c>
    </row>
    <row r="18" spans="1:14" x14ac:dyDescent="0.25">
      <c r="B18" s="2" t="s">
        <v>627</v>
      </c>
      <c r="C18" s="2" t="s">
        <v>622</v>
      </c>
      <c r="D18" s="2" t="s">
        <v>623</v>
      </c>
      <c r="E18" s="2" t="s">
        <v>624</v>
      </c>
      <c r="F18" s="2" t="s">
        <v>625</v>
      </c>
      <c r="G18" s="2">
        <f>MIN(E10:E13)</f>
        <v>0.25</v>
      </c>
      <c r="I18" s="2" t="s">
        <v>627</v>
      </c>
      <c r="J18" s="2" t="s">
        <v>622</v>
      </c>
      <c r="K18" s="2" t="s">
        <v>623</v>
      </c>
      <c r="L18" s="2" t="s">
        <v>626</v>
      </c>
      <c r="M18" s="2" t="s">
        <v>625</v>
      </c>
      <c r="N18" s="2">
        <f>MAX(E10:E13)</f>
        <v>0.5</v>
      </c>
    </row>
    <row r="20" spans="1:14" x14ac:dyDescent="0.25">
      <c r="B20" s="2" t="s">
        <v>628</v>
      </c>
      <c r="C20" s="2" t="s">
        <v>622</v>
      </c>
      <c r="D20" s="2" t="s">
        <v>623</v>
      </c>
      <c r="E20" s="2" t="s">
        <v>624</v>
      </c>
      <c r="F20" s="2" t="s">
        <v>625</v>
      </c>
      <c r="G20" s="2">
        <f>MIN(F10:F13)</f>
        <v>0</v>
      </c>
      <c r="I20" s="2" t="s">
        <v>628</v>
      </c>
      <c r="J20" s="2" t="s">
        <v>622</v>
      </c>
      <c r="K20" s="2" t="s">
        <v>623</v>
      </c>
      <c r="L20" s="2" t="s">
        <v>626</v>
      </c>
      <c r="M20" s="2" t="s">
        <v>625</v>
      </c>
      <c r="N20" s="2">
        <f>MAX(F10:F13)</f>
        <v>0.25</v>
      </c>
    </row>
    <row r="23" spans="1:14" x14ac:dyDescent="0.25">
      <c r="A23" s="1" t="s">
        <v>619</v>
      </c>
    </row>
    <row r="24" spans="1:14" x14ac:dyDescent="0.25">
      <c r="A24" s="3" t="s">
        <v>632</v>
      </c>
    </row>
    <row r="25" spans="1:14" x14ac:dyDescent="0.25">
      <c r="B25" s="2" t="s">
        <v>633</v>
      </c>
    </row>
    <row r="26" spans="1:14" x14ac:dyDescent="0.25">
      <c r="B26" s="2" t="s">
        <v>621</v>
      </c>
      <c r="C26" s="2" t="s">
        <v>622</v>
      </c>
      <c r="D26" s="2" t="s">
        <v>623</v>
      </c>
      <c r="E26" s="2" t="s">
        <v>624</v>
      </c>
      <c r="F26" s="2" t="s">
        <v>625</v>
      </c>
      <c r="G26" s="2">
        <v>0.3125</v>
      </c>
      <c r="I26" s="2" t="s">
        <v>621</v>
      </c>
      <c r="J26" s="2" t="s">
        <v>622</v>
      </c>
      <c r="K26" s="2" t="s">
        <v>623</v>
      </c>
      <c r="L26" s="2" t="s">
        <v>626</v>
      </c>
      <c r="M26" s="2" t="s">
        <v>625</v>
      </c>
      <c r="N26" s="2">
        <v>0.47920000000000001</v>
      </c>
    </row>
    <row r="28" spans="1:14" x14ac:dyDescent="0.25">
      <c r="B28" s="2" t="s">
        <v>627</v>
      </c>
      <c r="C28" s="2" t="s">
        <v>622</v>
      </c>
      <c r="D28" s="2" t="s">
        <v>623</v>
      </c>
      <c r="E28" s="2" t="s">
        <v>624</v>
      </c>
      <c r="F28" s="2" t="s">
        <v>625</v>
      </c>
      <c r="G28" s="2">
        <v>0.1875</v>
      </c>
      <c r="I28" s="2" t="s">
        <v>627</v>
      </c>
      <c r="J28" s="2" t="s">
        <v>622</v>
      </c>
      <c r="K28" s="2" t="s">
        <v>623</v>
      </c>
      <c r="L28" s="2" t="s">
        <v>626</v>
      </c>
      <c r="M28" s="2" t="s">
        <v>625</v>
      </c>
      <c r="N28" s="2">
        <v>0.24310000000000001</v>
      </c>
    </row>
    <row r="30" spans="1:14" x14ac:dyDescent="0.25">
      <c r="B30" s="2" t="s">
        <v>628</v>
      </c>
      <c r="C30" s="2" t="s">
        <v>622</v>
      </c>
      <c r="D30" s="2" t="s">
        <v>623</v>
      </c>
      <c r="E30" s="2" t="s">
        <v>624</v>
      </c>
      <c r="F30" s="2" t="s">
        <v>625</v>
      </c>
      <c r="G30" s="2">
        <v>0.14929999999999999</v>
      </c>
      <c r="I30" s="2" t="s">
        <v>628</v>
      </c>
      <c r="J30" s="2" t="s">
        <v>622</v>
      </c>
      <c r="K30" s="2" t="s">
        <v>623</v>
      </c>
      <c r="L30" s="2" t="s">
        <v>626</v>
      </c>
      <c r="M30" s="2" t="s">
        <v>625</v>
      </c>
      <c r="N30" s="2">
        <v>0.2326</v>
      </c>
    </row>
    <row r="32" spans="1:14" x14ac:dyDescent="0.25">
      <c r="B32" s="2" t="s">
        <v>634</v>
      </c>
      <c r="C32" s="2" t="s">
        <v>622</v>
      </c>
      <c r="D32" s="2" t="s">
        <v>623</v>
      </c>
      <c r="E32" s="2" t="s">
        <v>624</v>
      </c>
      <c r="F32" s="2" t="s">
        <v>625</v>
      </c>
      <c r="G32" s="2">
        <v>4.5100000000000001E-2</v>
      </c>
      <c r="I32" s="2" t="s">
        <v>634</v>
      </c>
      <c r="J32" s="2" t="s">
        <v>622</v>
      </c>
      <c r="K32" s="2" t="s">
        <v>623</v>
      </c>
      <c r="L32" s="2" t="s">
        <v>626</v>
      </c>
      <c r="M32" s="2" t="s">
        <v>625</v>
      </c>
      <c r="N32" s="2">
        <v>0.21179999999999999</v>
      </c>
    </row>
    <row r="36" spans="1:14" x14ac:dyDescent="0.25">
      <c r="B36" s="2" t="s">
        <v>635</v>
      </c>
    </row>
    <row r="38" spans="1:14" x14ac:dyDescent="0.25">
      <c r="B38" s="2" t="s">
        <v>621</v>
      </c>
      <c r="C38" s="2" t="s">
        <v>622</v>
      </c>
      <c r="D38" s="2" t="s">
        <v>623</v>
      </c>
      <c r="E38" s="2" t="s">
        <v>624</v>
      </c>
      <c r="F38" s="2" t="s">
        <v>625</v>
      </c>
      <c r="G38" s="2">
        <v>0.29859999999999998</v>
      </c>
      <c r="I38" s="2" t="s">
        <v>621</v>
      </c>
      <c r="J38" s="2" t="s">
        <v>622</v>
      </c>
      <c r="K38" s="2" t="s">
        <v>623</v>
      </c>
      <c r="L38" s="2" t="s">
        <v>626</v>
      </c>
      <c r="M38" s="2" t="s">
        <v>625</v>
      </c>
      <c r="N38" s="2">
        <v>0.46529999999999999</v>
      </c>
    </row>
    <row r="40" spans="1:14" x14ac:dyDescent="0.25">
      <c r="B40" s="2" t="s">
        <v>627</v>
      </c>
      <c r="C40" s="2" t="s">
        <v>622</v>
      </c>
      <c r="D40" s="2" t="s">
        <v>623</v>
      </c>
      <c r="E40" s="2" t="s">
        <v>624</v>
      </c>
      <c r="F40" s="2" t="s">
        <v>625</v>
      </c>
      <c r="G40" s="2">
        <v>0.27779999999999999</v>
      </c>
      <c r="I40" s="2" t="s">
        <v>627</v>
      </c>
      <c r="J40" s="2" t="s">
        <v>622</v>
      </c>
      <c r="K40" s="2" t="s">
        <v>623</v>
      </c>
      <c r="L40" s="2" t="s">
        <v>626</v>
      </c>
      <c r="M40" s="2" t="s">
        <v>625</v>
      </c>
      <c r="N40" s="2">
        <v>0.44440000000000002</v>
      </c>
    </row>
    <row r="42" spans="1:14" x14ac:dyDescent="0.25">
      <c r="B42" s="2" t="s">
        <v>628</v>
      </c>
      <c r="C42" s="2" t="s">
        <v>622</v>
      </c>
      <c r="D42" s="2" t="s">
        <v>623</v>
      </c>
      <c r="E42" s="2" t="s">
        <v>624</v>
      </c>
      <c r="F42" s="2" t="s">
        <v>625</v>
      </c>
      <c r="G42" s="2">
        <v>6.9400000000000003E-2</v>
      </c>
      <c r="I42" s="2" t="s">
        <v>628</v>
      </c>
      <c r="J42" s="2" t="s">
        <v>622</v>
      </c>
      <c r="K42" s="2" t="s">
        <v>623</v>
      </c>
      <c r="L42" s="2" t="s">
        <v>626</v>
      </c>
      <c r="M42" s="2" t="s">
        <v>625</v>
      </c>
      <c r="N42" s="2">
        <v>0.29170000000000001</v>
      </c>
    </row>
    <row r="44" spans="1:14" x14ac:dyDescent="0.25">
      <c r="B44" s="2" t="s">
        <v>634</v>
      </c>
      <c r="C44" s="2" t="s">
        <v>622</v>
      </c>
      <c r="D44" s="2" t="s">
        <v>623</v>
      </c>
      <c r="E44" s="2" t="s">
        <v>624</v>
      </c>
      <c r="F44" s="2" t="s">
        <v>625</v>
      </c>
      <c r="G44" s="2">
        <v>2.0799999999999999E-2</v>
      </c>
      <c r="I44" s="2" t="s">
        <v>634</v>
      </c>
      <c r="J44" s="2" t="s">
        <v>622</v>
      </c>
      <c r="K44" s="2" t="s">
        <v>623</v>
      </c>
      <c r="L44" s="2" t="s">
        <v>626</v>
      </c>
      <c r="M44" s="2" t="s">
        <v>625</v>
      </c>
      <c r="N44" s="2">
        <v>0.1875</v>
      </c>
    </row>
    <row r="47" spans="1:14" x14ac:dyDescent="0.25">
      <c r="A47" s="1" t="s">
        <v>631</v>
      </c>
    </row>
    <row r="48" spans="1:14" x14ac:dyDescent="0.25">
      <c r="A48" s="3" t="s">
        <v>632</v>
      </c>
      <c r="B48" s="2" t="s">
        <v>633</v>
      </c>
    </row>
    <row r="49" spans="2:15" x14ac:dyDescent="0.25">
      <c r="C49" s="2" t="s">
        <v>636</v>
      </c>
    </row>
    <row r="51" spans="2:15" x14ac:dyDescent="0.25">
      <c r="B51" s="2" t="s">
        <v>637</v>
      </c>
      <c r="C51" s="2" t="s">
        <v>638</v>
      </c>
      <c r="D51" s="2" t="s">
        <v>639</v>
      </c>
      <c r="E51" s="2" t="s">
        <v>640</v>
      </c>
      <c r="G51" s="2">
        <v>0.47871999999999998</v>
      </c>
      <c r="H51" s="2">
        <v>0.24290900000000001</v>
      </c>
      <c r="I51" s="2">
        <v>0.14981</v>
      </c>
      <c r="J51" s="2">
        <v>0.12854499999999999</v>
      </c>
      <c r="K51" s="2" t="s">
        <v>641</v>
      </c>
      <c r="L51" s="2">
        <f>1/2</f>
        <v>0.5</v>
      </c>
      <c r="M51" s="2">
        <v>0.25</v>
      </c>
      <c r="N51" s="2">
        <f>1/8</f>
        <v>0.125</v>
      </c>
      <c r="O51" s="2">
        <f>N51</f>
        <v>0.125</v>
      </c>
    </row>
    <row r="52" spans="2:15" x14ac:dyDescent="0.25">
      <c r="C52" s="2" t="s">
        <v>642</v>
      </c>
      <c r="D52" s="2" t="s">
        <v>643</v>
      </c>
      <c r="G52" s="2">
        <v>0.47871999999999998</v>
      </c>
      <c r="H52" s="2">
        <v>0.18793000000000001</v>
      </c>
      <c r="I52" s="2">
        <v>0.17730000000000001</v>
      </c>
      <c r="J52" s="2">
        <v>0.15603</v>
      </c>
      <c r="L52" s="2">
        <f>0.5</f>
        <v>0.5</v>
      </c>
      <c r="M52" s="2">
        <f>1/6</f>
        <v>0.16666666666666666</v>
      </c>
      <c r="N52" s="2">
        <f>M52</f>
        <v>0.16666666666666666</v>
      </c>
      <c r="O52" s="2">
        <f>N52</f>
        <v>0.16666666666666666</v>
      </c>
    </row>
    <row r="53" spans="2:15" x14ac:dyDescent="0.25">
      <c r="C53" s="2" t="s">
        <v>644</v>
      </c>
      <c r="D53" s="2" t="s">
        <v>645</v>
      </c>
      <c r="G53" s="2">
        <v>0.47872803760083754</v>
      </c>
      <c r="H53" s="2">
        <v>0.24290934586694585</v>
      </c>
      <c r="I53" s="2">
        <v>0.23227336466736462</v>
      </c>
      <c r="J53" s="2">
        <v>4.6089251864851966E-2</v>
      </c>
      <c r="L53" s="2">
        <v>0.5</v>
      </c>
      <c r="M53" s="2">
        <v>0.25</v>
      </c>
      <c r="N53" s="2">
        <v>0.25</v>
      </c>
      <c r="O53" s="2">
        <v>0</v>
      </c>
    </row>
    <row r="55" spans="2:15" x14ac:dyDescent="0.25">
      <c r="F55" s="2" t="s">
        <v>646</v>
      </c>
      <c r="G55" s="2">
        <f>MIN(G51:G53,L51:L53)</f>
        <v>0.47871999999999998</v>
      </c>
      <c r="H55" s="2">
        <f t="shared" ref="H55:J55" si="0">MIN(H51:H53,M51:M53)</f>
        <v>0.16666666666666666</v>
      </c>
      <c r="I55" s="2">
        <f t="shared" si="0"/>
        <v>0.125</v>
      </c>
      <c r="J55" s="2">
        <f t="shared" si="0"/>
        <v>0</v>
      </c>
    </row>
    <row r="56" spans="2:15" x14ac:dyDescent="0.25">
      <c r="F56" s="2" t="s">
        <v>647</v>
      </c>
      <c r="G56" s="2">
        <f>MAX(G51:G53,L51:L53)</f>
        <v>0.5</v>
      </c>
      <c r="H56" s="2">
        <f t="shared" ref="H56:J56" si="1">MAX(H51:H53,M51:M53)</f>
        <v>0.25</v>
      </c>
      <c r="I56" s="2">
        <f t="shared" si="1"/>
        <v>0.25</v>
      </c>
      <c r="J56" s="2">
        <f t="shared" si="1"/>
        <v>0.16666666666666666</v>
      </c>
    </row>
    <row r="59" spans="2:15" x14ac:dyDescent="0.25">
      <c r="B59" s="2" t="s">
        <v>621</v>
      </c>
      <c r="C59" s="2" t="s">
        <v>622</v>
      </c>
      <c r="D59" s="2" t="s">
        <v>623</v>
      </c>
      <c r="E59" s="2" t="s">
        <v>624</v>
      </c>
      <c r="F59" s="2" t="s">
        <v>625</v>
      </c>
      <c r="G59" s="2">
        <f>G55</f>
        <v>0.47871999999999998</v>
      </c>
      <c r="I59" s="2" t="s">
        <v>621</v>
      </c>
      <c r="J59" s="2" t="s">
        <v>622</v>
      </c>
      <c r="K59" s="2" t="s">
        <v>623</v>
      </c>
      <c r="L59" s="2" t="s">
        <v>626</v>
      </c>
      <c r="M59" s="2" t="s">
        <v>625</v>
      </c>
      <c r="N59" s="2">
        <f>G56</f>
        <v>0.5</v>
      </c>
    </row>
    <row r="61" spans="2:15" x14ac:dyDescent="0.25">
      <c r="B61" s="2" t="s">
        <v>627</v>
      </c>
      <c r="C61" s="2" t="s">
        <v>622</v>
      </c>
      <c r="D61" s="2" t="s">
        <v>623</v>
      </c>
      <c r="E61" s="2" t="s">
        <v>624</v>
      </c>
      <c r="F61" s="2" t="s">
        <v>625</v>
      </c>
      <c r="G61" s="2">
        <f>H55</f>
        <v>0.16666666666666666</v>
      </c>
      <c r="I61" s="2" t="s">
        <v>627</v>
      </c>
      <c r="J61" s="2" t="s">
        <v>622</v>
      </c>
      <c r="K61" s="2" t="s">
        <v>623</v>
      </c>
      <c r="L61" s="2" t="s">
        <v>626</v>
      </c>
      <c r="M61" s="2" t="s">
        <v>625</v>
      </c>
      <c r="N61" s="2">
        <f>H56</f>
        <v>0.25</v>
      </c>
    </row>
    <row r="63" spans="2:15" x14ac:dyDescent="0.25">
      <c r="B63" s="2" t="s">
        <v>628</v>
      </c>
      <c r="C63" s="2" t="s">
        <v>622</v>
      </c>
      <c r="D63" s="2" t="s">
        <v>623</v>
      </c>
      <c r="E63" s="2" t="s">
        <v>624</v>
      </c>
      <c r="F63" s="2" t="s">
        <v>625</v>
      </c>
      <c r="G63" s="2">
        <f>I55</f>
        <v>0.125</v>
      </c>
      <c r="I63" s="2" t="s">
        <v>628</v>
      </c>
      <c r="J63" s="2" t="s">
        <v>622</v>
      </c>
      <c r="K63" s="2" t="s">
        <v>623</v>
      </c>
      <c r="L63" s="2" t="s">
        <v>626</v>
      </c>
      <c r="M63" s="2" t="s">
        <v>625</v>
      </c>
      <c r="N63" s="2">
        <f>I56</f>
        <v>0.25</v>
      </c>
    </row>
    <row r="65" spans="2:15" x14ac:dyDescent="0.25">
      <c r="B65" s="2" t="s">
        <v>634</v>
      </c>
      <c r="C65" s="2" t="s">
        <v>622</v>
      </c>
      <c r="D65" s="2" t="s">
        <v>623</v>
      </c>
      <c r="E65" s="2" t="s">
        <v>624</v>
      </c>
      <c r="F65" s="2" t="s">
        <v>625</v>
      </c>
      <c r="G65" s="2">
        <f>J55</f>
        <v>0</v>
      </c>
      <c r="I65" s="2" t="s">
        <v>634</v>
      </c>
      <c r="J65" s="2" t="s">
        <v>622</v>
      </c>
      <c r="K65" s="2" t="s">
        <v>623</v>
      </c>
      <c r="L65" s="2" t="s">
        <v>626</v>
      </c>
      <c r="M65" s="2" t="s">
        <v>625</v>
      </c>
      <c r="N65" s="2">
        <f>J56</f>
        <v>0.16666666666666666</v>
      </c>
    </row>
    <row r="69" spans="2:15" x14ac:dyDescent="0.25">
      <c r="B69" s="2" t="s">
        <v>635</v>
      </c>
    </row>
    <row r="70" spans="2:15" x14ac:dyDescent="0.25">
      <c r="C70" s="2" t="s">
        <v>636</v>
      </c>
    </row>
    <row r="72" spans="2:15" x14ac:dyDescent="0.25">
      <c r="B72" s="2" t="s">
        <v>637</v>
      </c>
      <c r="C72" s="2" t="s">
        <v>648</v>
      </c>
      <c r="D72" s="2" t="s">
        <v>649</v>
      </c>
      <c r="E72" s="2" t="s">
        <v>640</v>
      </c>
      <c r="G72" s="2">
        <f>67/144</f>
        <v>0.46527777777777779</v>
      </c>
      <c r="H72" s="2">
        <f>16/36</f>
        <v>0.44444444444444442</v>
      </c>
      <c r="I72" s="2">
        <f>5/72</f>
        <v>6.9444444444444448E-2</v>
      </c>
      <c r="J72" s="2">
        <f>1/48</f>
        <v>2.0833333333333332E-2</v>
      </c>
      <c r="K72" s="2" t="s">
        <v>641</v>
      </c>
      <c r="L72" s="2">
        <f>1/2</f>
        <v>0.5</v>
      </c>
      <c r="M72" s="2">
        <v>0.5</v>
      </c>
      <c r="N72" s="2">
        <v>0</v>
      </c>
      <c r="O72" s="2">
        <v>0</v>
      </c>
    </row>
    <row r="73" spans="2:15" x14ac:dyDescent="0.25">
      <c r="C73" s="2" t="s">
        <v>650</v>
      </c>
      <c r="D73" s="2" t="s">
        <v>651</v>
      </c>
      <c r="G73" s="2">
        <f>17/48</f>
        <v>0.35416666666666669</v>
      </c>
      <c r="H73" s="2">
        <f>1/3</f>
        <v>0.33333333333333331</v>
      </c>
      <c r="I73" s="2">
        <f>7/24</f>
        <v>0.29166666666666669</v>
      </c>
      <c r="J73" s="2">
        <f>1/48</f>
        <v>2.0833333333333332E-2</v>
      </c>
      <c r="L73" s="2">
        <f>1/3</f>
        <v>0.33333333333333331</v>
      </c>
      <c r="M73" s="2">
        <f>L73</f>
        <v>0.33333333333333331</v>
      </c>
      <c r="N73" s="2">
        <f>M73</f>
        <v>0.33333333333333331</v>
      </c>
      <c r="O73" s="2">
        <v>0</v>
      </c>
    </row>
    <row r="74" spans="2:15" x14ac:dyDescent="0.25">
      <c r="C74" s="2" t="s">
        <v>652</v>
      </c>
      <c r="D74" s="2" t="s">
        <v>653</v>
      </c>
      <c r="G74" s="2">
        <f>43/144</f>
        <v>0.2986111111111111</v>
      </c>
      <c r="H74" s="2">
        <f>10/36</f>
        <v>0.27777777777777779</v>
      </c>
      <c r="I74" s="2">
        <f>17/72</f>
        <v>0.2361111111111111</v>
      </c>
      <c r="J74" s="2">
        <f>3/16</f>
        <v>0.1875</v>
      </c>
      <c r="L74" s="2">
        <v>0.25</v>
      </c>
      <c r="M74" s="2">
        <v>0.25</v>
      </c>
      <c r="N74" s="2">
        <v>0.25</v>
      </c>
      <c r="O74" s="2">
        <v>0.25</v>
      </c>
    </row>
    <row r="76" spans="2:15" x14ac:dyDescent="0.25">
      <c r="F76" s="2" t="s">
        <v>646</v>
      </c>
      <c r="G76" s="2">
        <f>MIN(G72:G74,L72:L74)</f>
        <v>0.25</v>
      </c>
      <c r="H76" s="2">
        <f t="shared" ref="H76:J76" si="2">MIN(H72:H74,M72:M74)</f>
        <v>0.25</v>
      </c>
      <c r="I76" s="2">
        <f t="shared" si="2"/>
        <v>0</v>
      </c>
      <c r="J76" s="2">
        <f t="shared" si="2"/>
        <v>0</v>
      </c>
    </row>
    <row r="77" spans="2:15" x14ac:dyDescent="0.25">
      <c r="F77" s="2" t="s">
        <v>647</v>
      </c>
      <c r="G77" s="2">
        <f>MAX(G72:G74,L72:L74)</f>
        <v>0.5</v>
      </c>
      <c r="H77" s="2">
        <f t="shared" ref="H77:J77" si="3">MAX(H72:H74,M72:M74)</f>
        <v>0.5</v>
      </c>
      <c r="I77" s="2">
        <f t="shared" si="3"/>
        <v>0.33333333333333331</v>
      </c>
      <c r="J77" s="2">
        <f t="shared" si="3"/>
        <v>0.25</v>
      </c>
    </row>
    <row r="80" spans="2:15" x14ac:dyDescent="0.25">
      <c r="B80" s="2" t="s">
        <v>621</v>
      </c>
      <c r="C80" s="2" t="s">
        <v>622</v>
      </c>
      <c r="D80" s="2" t="s">
        <v>623</v>
      </c>
      <c r="E80" s="2" t="s">
        <v>624</v>
      </c>
      <c r="F80" s="2" t="s">
        <v>625</v>
      </c>
      <c r="G80" s="2">
        <f>G76</f>
        <v>0.25</v>
      </c>
      <c r="I80" s="2" t="s">
        <v>621</v>
      </c>
      <c r="J80" s="2" t="s">
        <v>622</v>
      </c>
      <c r="K80" s="2" t="s">
        <v>623</v>
      </c>
      <c r="L80" s="2" t="s">
        <v>626</v>
      </c>
      <c r="M80" s="2" t="s">
        <v>625</v>
      </c>
      <c r="N80" s="2">
        <f>G77</f>
        <v>0.5</v>
      </c>
    </row>
    <row r="82" spans="2:14" x14ac:dyDescent="0.25">
      <c r="B82" s="2" t="s">
        <v>627</v>
      </c>
      <c r="C82" s="2" t="s">
        <v>622</v>
      </c>
      <c r="D82" s="2" t="s">
        <v>623</v>
      </c>
      <c r="E82" s="2" t="s">
        <v>624</v>
      </c>
      <c r="F82" s="2" t="s">
        <v>625</v>
      </c>
      <c r="G82" s="2">
        <f>H76</f>
        <v>0.25</v>
      </c>
      <c r="I82" s="2" t="s">
        <v>627</v>
      </c>
      <c r="J82" s="2" t="s">
        <v>622</v>
      </c>
      <c r="K82" s="2" t="s">
        <v>623</v>
      </c>
      <c r="L82" s="2" t="s">
        <v>626</v>
      </c>
      <c r="M82" s="2" t="s">
        <v>625</v>
      </c>
      <c r="N82" s="2">
        <f>H77</f>
        <v>0.5</v>
      </c>
    </row>
    <row r="84" spans="2:14" x14ac:dyDescent="0.25">
      <c r="B84" s="2" t="s">
        <v>628</v>
      </c>
      <c r="C84" s="2" t="s">
        <v>622</v>
      </c>
      <c r="D84" s="2" t="s">
        <v>623</v>
      </c>
      <c r="E84" s="2" t="s">
        <v>624</v>
      </c>
      <c r="F84" s="2" t="s">
        <v>625</v>
      </c>
      <c r="G84" s="2">
        <f>I76</f>
        <v>0</v>
      </c>
      <c r="I84" s="2" t="s">
        <v>628</v>
      </c>
      <c r="J84" s="2" t="s">
        <v>622</v>
      </c>
      <c r="K84" s="2" t="s">
        <v>623</v>
      </c>
      <c r="L84" s="2" t="s">
        <v>626</v>
      </c>
      <c r="M84" s="2" t="s">
        <v>625</v>
      </c>
      <c r="N84" s="2">
        <f>I77</f>
        <v>0.33333333333333331</v>
      </c>
    </row>
    <row r="86" spans="2:14" x14ac:dyDescent="0.25">
      <c r="B86" s="2" t="s">
        <v>634</v>
      </c>
      <c r="C86" s="2" t="s">
        <v>622</v>
      </c>
      <c r="D86" s="2" t="s">
        <v>623</v>
      </c>
      <c r="E86" s="2" t="s">
        <v>624</v>
      </c>
      <c r="F86" s="2" t="s">
        <v>625</v>
      </c>
      <c r="G86" s="2">
        <f>J76</f>
        <v>0</v>
      </c>
      <c r="I86" s="2" t="s">
        <v>634</v>
      </c>
      <c r="J86" s="2" t="s">
        <v>622</v>
      </c>
      <c r="K86" s="2" t="s">
        <v>623</v>
      </c>
      <c r="L86" s="2" t="s">
        <v>626</v>
      </c>
      <c r="M86" s="2" t="s">
        <v>625</v>
      </c>
      <c r="N86" s="2">
        <f>J77</f>
        <v>0.25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L545"/>
  <sheetViews>
    <sheetView tabSelected="1" workbookViewId="0">
      <pane xSplit="1" ySplit="2" topLeftCell="B29" activePane="bottomRight" state="frozen"/>
      <selection pane="topRight" activeCell="B1" sqref="B1"/>
      <selection pane="bottomLeft" activeCell="A3" sqref="A3"/>
      <selection pane="bottomRight" activeCell="BB46" sqref="BB46:BE278"/>
    </sheetView>
  </sheetViews>
  <sheetFormatPr defaultRowHeight="12.75" x14ac:dyDescent="0.2"/>
  <cols>
    <col min="6" max="6" width="0" hidden="1" customWidth="1"/>
    <col min="12" max="50" width="0" hidden="1" customWidth="1"/>
  </cols>
  <sheetData>
    <row r="1" spans="1:64" x14ac:dyDescent="0.2">
      <c r="H1">
        <v>0</v>
      </c>
      <c r="I1">
        <v>1</v>
      </c>
      <c r="J1">
        <v>2</v>
      </c>
      <c r="K1">
        <v>3</v>
      </c>
      <c r="L1">
        <v>4</v>
      </c>
      <c r="M1">
        <v>5</v>
      </c>
      <c r="N1">
        <v>6</v>
      </c>
      <c r="O1">
        <v>7</v>
      </c>
      <c r="P1">
        <v>8</v>
      </c>
      <c r="Q1">
        <v>9</v>
      </c>
      <c r="R1">
        <v>10</v>
      </c>
      <c r="S1">
        <v>11</v>
      </c>
      <c r="T1">
        <v>12</v>
      </c>
      <c r="U1">
        <v>13</v>
      </c>
      <c r="V1">
        <v>14</v>
      </c>
      <c r="W1">
        <v>15</v>
      </c>
      <c r="X1">
        <v>16</v>
      </c>
      <c r="Y1">
        <v>17</v>
      </c>
      <c r="Z1">
        <v>18</v>
      </c>
      <c r="AA1">
        <v>19</v>
      </c>
      <c r="AB1">
        <v>20</v>
      </c>
      <c r="AC1">
        <v>21</v>
      </c>
      <c r="AD1">
        <v>22</v>
      </c>
      <c r="AE1">
        <v>23</v>
      </c>
      <c r="AF1">
        <v>24</v>
      </c>
      <c r="AG1">
        <v>25</v>
      </c>
      <c r="AH1">
        <v>26</v>
      </c>
      <c r="AI1">
        <v>27</v>
      </c>
      <c r="AJ1">
        <v>28</v>
      </c>
      <c r="AK1">
        <v>29</v>
      </c>
      <c r="AL1">
        <v>30</v>
      </c>
      <c r="AM1">
        <v>31</v>
      </c>
      <c r="AN1">
        <v>32</v>
      </c>
      <c r="AO1">
        <v>33</v>
      </c>
      <c r="AP1">
        <v>34</v>
      </c>
      <c r="AQ1">
        <v>35</v>
      </c>
      <c r="AR1">
        <v>36</v>
      </c>
      <c r="AS1">
        <v>37</v>
      </c>
      <c r="AT1">
        <v>38</v>
      </c>
      <c r="AU1">
        <v>39</v>
      </c>
      <c r="AV1">
        <v>40</v>
      </c>
      <c r="AW1">
        <v>41</v>
      </c>
      <c r="AX1">
        <v>42</v>
      </c>
    </row>
    <row r="2" spans="1:64" x14ac:dyDescent="0.2">
      <c r="A2" t="s">
        <v>39</v>
      </c>
      <c r="B2" t="s">
        <v>40</v>
      </c>
      <c r="C2" t="s">
        <v>41</v>
      </c>
      <c r="D2" t="s">
        <v>42</v>
      </c>
      <c r="E2" t="s">
        <v>0</v>
      </c>
      <c r="F2" t="s">
        <v>43</v>
      </c>
      <c r="G2" s="10" t="s">
        <v>666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59</v>
      </c>
      <c r="X2" t="s">
        <v>60</v>
      </c>
      <c r="Y2" t="s">
        <v>61</v>
      </c>
      <c r="Z2" t="s">
        <v>62</v>
      </c>
      <c r="AA2" t="s">
        <v>63</v>
      </c>
      <c r="AB2" t="s">
        <v>64</v>
      </c>
      <c r="AC2" t="s">
        <v>65</v>
      </c>
      <c r="AD2" t="s">
        <v>66</v>
      </c>
      <c r="AE2" t="s">
        <v>67</v>
      </c>
      <c r="AF2" t="s">
        <v>68</v>
      </c>
      <c r="AG2" t="s">
        <v>69</v>
      </c>
      <c r="AH2" t="s">
        <v>70</v>
      </c>
      <c r="AI2" t="s">
        <v>71</v>
      </c>
      <c r="AJ2" t="s">
        <v>72</v>
      </c>
      <c r="AK2" t="s">
        <v>73</v>
      </c>
      <c r="AL2" t="s">
        <v>74</v>
      </c>
      <c r="AM2" t="s">
        <v>75</v>
      </c>
      <c r="AN2" t="s">
        <v>76</v>
      </c>
      <c r="AO2" t="s">
        <v>77</v>
      </c>
      <c r="AP2" t="s">
        <v>78</v>
      </c>
      <c r="AQ2" t="s">
        <v>79</v>
      </c>
      <c r="AR2" t="s">
        <v>80</v>
      </c>
      <c r="AS2" t="s">
        <v>81</v>
      </c>
      <c r="AT2" t="s">
        <v>82</v>
      </c>
      <c r="AU2" t="s">
        <v>83</v>
      </c>
      <c r="AV2" t="s">
        <v>84</v>
      </c>
      <c r="AW2" t="s">
        <v>85</v>
      </c>
      <c r="AX2" t="s">
        <v>86</v>
      </c>
      <c r="AY2" t="s">
        <v>87</v>
      </c>
      <c r="AZ2" s="4" t="s">
        <v>654</v>
      </c>
      <c r="BA2" s="4" t="s">
        <v>655</v>
      </c>
      <c r="BB2" s="4" t="s">
        <v>656</v>
      </c>
      <c r="BC2" s="4" t="s">
        <v>657</v>
      </c>
      <c r="BD2" s="4" t="s">
        <v>658</v>
      </c>
      <c r="BE2" s="4" t="s">
        <v>660</v>
      </c>
      <c r="BF2" s="4" t="s">
        <v>661</v>
      </c>
      <c r="BG2" s="4" t="s">
        <v>662</v>
      </c>
      <c r="BH2" s="4" t="s">
        <v>619</v>
      </c>
      <c r="BI2" s="4" t="s">
        <v>663</v>
      </c>
      <c r="BJ2" s="4" t="s">
        <v>664</v>
      </c>
      <c r="BK2" s="4" t="s">
        <v>665</v>
      </c>
      <c r="BL2" s="4" t="s">
        <v>659</v>
      </c>
    </row>
    <row r="3" spans="1:64" hidden="1" x14ac:dyDescent="0.2">
      <c r="A3" t="s">
        <v>1</v>
      </c>
      <c r="C3">
        <v>1</v>
      </c>
      <c r="D3">
        <v>9</v>
      </c>
      <c r="E3" t="s">
        <v>88</v>
      </c>
      <c r="F3">
        <v>2014</v>
      </c>
      <c r="H3">
        <v>430847</v>
      </c>
      <c r="I3">
        <v>259557</v>
      </c>
      <c r="J3">
        <v>184198</v>
      </c>
      <c r="K3">
        <v>94420</v>
      </c>
      <c r="L3">
        <v>41032</v>
      </c>
      <c r="M3">
        <v>17084</v>
      </c>
      <c r="N3">
        <v>8859</v>
      </c>
      <c r="O3">
        <v>5055</v>
      </c>
      <c r="P3">
        <v>4787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1045839</v>
      </c>
    </row>
    <row r="4" spans="1:64" hidden="1" x14ac:dyDescent="0.2">
      <c r="A4" t="s">
        <v>1</v>
      </c>
      <c r="C4">
        <v>2</v>
      </c>
      <c r="D4">
        <v>18</v>
      </c>
      <c r="E4" t="s">
        <v>89</v>
      </c>
      <c r="F4">
        <v>2014</v>
      </c>
      <c r="H4">
        <v>565496</v>
      </c>
      <c r="I4">
        <v>274338</v>
      </c>
      <c r="J4">
        <v>63334</v>
      </c>
      <c r="K4">
        <v>45977</v>
      </c>
      <c r="L4">
        <v>9449</v>
      </c>
      <c r="M4">
        <v>9290</v>
      </c>
      <c r="N4">
        <v>9199</v>
      </c>
      <c r="O4">
        <v>8609</v>
      </c>
      <c r="P4">
        <v>7258</v>
      </c>
      <c r="Q4">
        <v>5361</v>
      </c>
      <c r="R4">
        <v>3866</v>
      </c>
      <c r="S4">
        <v>3699</v>
      </c>
      <c r="T4">
        <v>3266</v>
      </c>
      <c r="U4">
        <v>3020</v>
      </c>
      <c r="V4">
        <v>2742</v>
      </c>
      <c r="W4">
        <v>2674</v>
      </c>
      <c r="X4">
        <v>2361</v>
      </c>
      <c r="Y4">
        <v>2245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1022184</v>
      </c>
    </row>
    <row r="5" spans="1:64" hidden="1" x14ac:dyDescent="0.2">
      <c r="A5" t="s">
        <v>1</v>
      </c>
      <c r="C5">
        <v>3</v>
      </c>
      <c r="D5">
        <v>18</v>
      </c>
      <c r="E5" t="s">
        <v>90</v>
      </c>
      <c r="F5">
        <v>2014</v>
      </c>
      <c r="H5">
        <v>505358</v>
      </c>
      <c r="I5">
        <v>300706</v>
      </c>
      <c r="J5">
        <v>214828</v>
      </c>
      <c r="K5">
        <v>39308</v>
      </c>
      <c r="L5">
        <v>11328</v>
      </c>
      <c r="M5">
        <v>8034</v>
      </c>
      <c r="N5">
        <v>6713</v>
      </c>
      <c r="O5">
        <v>5734</v>
      </c>
      <c r="P5">
        <v>4769</v>
      </c>
      <c r="Q5">
        <v>4728</v>
      </c>
      <c r="R5">
        <v>3943</v>
      </c>
      <c r="S5">
        <v>3851</v>
      </c>
      <c r="T5">
        <v>3772</v>
      </c>
      <c r="U5">
        <v>3075</v>
      </c>
      <c r="V5">
        <v>2757</v>
      </c>
      <c r="W5">
        <v>2445</v>
      </c>
      <c r="X5">
        <v>2062</v>
      </c>
      <c r="Y5">
        <v>1773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1125184</v>
      </c>
    </row>
    <row r="6" spans="1:64" hidden="1" x14ac:dyDescent="0.2">
      <c r="A6" t="s">
        <v>1</v>
      </c>
      <c r="C6">
        <v>4</v>
      </c>
      <c r="D6">
        <v>17</v>
      </c>
      <c r="E6" t="s">
        <v>91</v>
      </c>
      <c r="F6">
        <v>2014</v>
      </c>
      <c r="H6">
        <v>439307</v>
      </c>
      <c r="I6">
        <v>272123</v>
      </c>
      <c r="J6">
        <v>225333</v>
      </c>
      <c r="K6">
        <v>43814</v>
      </c>
      <c r="L6">
        <v>8129</v>
      </c>
      <c r="M6">
        <v>7421</v>
      </c>
      <c r="N6">
        <v>7266</v>
      </c>
      <c r="O6">
        <v>4791</v>
      </c>
      <c r="P6">
        <v>3990</v>
      </c>
      <c r="Q6">
        <v>3651</v>
      </c>
      <c r="R6">
        <v>3529</v>
      </c>
      <c r="S6">
        <v>3091</v>
      </c>
      <c r="T6">
        <v>2817</v>
      </c>
      <c r="U6">
        <v>2621</v>
      </c>
      <c r="V6">
        <v>2462</v>
      </c>
      <c r="W6">
        <v>1978</v>
      </c>
      <c r="X6">
        <v>1601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1033924</v>
      </c>
    </row>
    <row r="7" spans="1:64" hidden="1" x14ac:dyDescent="0.2">
      <c r="A7" t="s">
        <v>1</v>
      </c>
      <c r="C7">
        <v>5</v>
      </c>
      <c r="D7">
        <v>11</v>
      </c>
      <c r="E7" t="s">
        <v>92</v>
      </c>
      <c r="F7">
        <v>2014</v>
      </c>
      <c r="H7">
        <v>508661</v>
      </c>
      <c r="I7">
        <v>364030</v>
      </c>
      <c r="J7">
        <v>157497</v>
      </c>
      <c r="K7">
        <v>18027</v>
      </c>
      <c r="L7">
        <v>12383</v>
      </c>
      <c r="M7">
        <v>11190</v>
      </c>
      <c r="N7">
        <v>8180</v>
      </c>
      <c r="O7">
        <v>4804</v>
      </c>
      <c r="P7">
        <v>4426</v>
      </c>
      <c r="Q7">
        <v>3285</v>
      </c>
      <c r="R7">
        <v>2323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1094806</v>
      </c>
    </row>
    <row r="8" spans="1:64" hidden="1" x14ac:dyDescent="0.2">
      <c r="A8" t="s">
        <v>1</v>
      </c>
      <c r="C8">
        <v>6</v>
      </c>
      <c r="D8">
        <v>14</v>
      </c>
      <c r="E8" t="s">
        <v>93</v>
      </c>
      <c r="F8">
        <v>2014</v>
      </c>
      <c r="H8">
        <v>657492</v>
      </c>
      <c r="I8">
        <v>260463</v>
      </c>
      <c r="J8">
        <v>181804</v>
      </c>
      <c r="K8">
        <v>33507</v>
      </c>
      <c r="L8">
        <v>11752</v>
      </c>
      <c r="M8">
        <v>10696</v>
      </c>
      <c r="N8">
        <v>7599</v>
      </c>
      <c r="O8">
        <v>6643</v>
      </c>
      <c r="P8">
        <v>5010</v>
      </c>
      <c r="Q8">
        <v>4441</v>
      </c>
      <c r="R8">
        <v>3297</v>
      </c>
      <c r="S8">
        <v>3281</v>
      </c>
      <c r="T8">
        <v>2973</v>
      </c>
      <c r="U8">
        <v>2053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1191011</v>
      </c>
    </row>
    <row r="9" spans="1:64" hidden="1" x14ac:dyDescent="0.2">
      <c r="A9" t="s">
        <v>1</v>
      </c>
      <c r="C9">
        <v>7</v>
      </c>
      <c r="D9">
        <v>31</v>
      </c>
      <c r="E9" t="s">
        <v>94</v>
      </c>
      <c r="F9">
        <v>2014</v>
      </c>
      <c r="H9">
        <v>523356</v>
      </c>
      <c r="I9">
        <v>495190</v>
      </c>
      <c r="J9">
        <v>233530</v>
      </c>
      <c r="K9">
        <v>158248</v>
      </c>
      <c r="L9">
        <v>115221</v>
      </c>
      <c r="M9">
        <v>18544</v>
      </c>
      <c r="N9">
        <v>13239</v>
      </c>
      <c r="O9">
        <v>8692</v>
      </c>
      <c r="P9">
        <v>8301</v>
      </c>
      <c r="Q9">
        <v>7953</v>
      </c>
      <c r="R9">
        <v>6133</v>
      </c>
      <c r="S9">
        <v>5717</v>
      </c>
      <c r="T9">
        <v>4095</v>
      </c>
      <c r="U9">
        <v>2677</v>
      </c>
      <c r="V9">
        <v>2261</v>
      </c>
      <c r="W9">
        <v>2049</v>
      </c>
      <c r="X9">
        <v>1693</v>
      </c>
      <c r="Y9">
        <v>1547</v>
      </c>
      <c r="Z9">
        <v>1416</v>
      </c>
      <c r="AA9">
        <v>1390</v>
      </c>
      <c r="AB9">
        <v>1325</v>
      </c>
      <c r="AC9">
        <v>1301</v>
      </c>
      <c r="AD9">
        <v>1032</v>
      </c>
      <c r="AE9">
        <v>1026</v>
      </c>
      <c r="AF9">
        <v>899</v>
      </c>
      <c r="AG9">
        <v>802</v>
      </c>
      <c r="AH9">
        <v>775</v>
      </c>
      <c r="AI9">
        <v>596</v>
      </c>
      <c r="AJ9">
        <v>529</v>
      </c>
      <c r="AK9">
        <v>496</v>
      </c>
      <c r="AL9">
        <v>411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1620444</v>
      </c>
    </row>
    <row r="10" spans="1:64" hidden="1" x14ac:dyDescent="0.2">
      <c r="A10" t="s">
        <v>1</v>
      </c>
      <c r="C10">
        <v>8</v>
      </c>
      <c r="D10">
        <v>31</v>
      </c>
      <c r="E10" t="s">
        <v>95</v>
      </c>
      <c r="F10">
        <v>2014</v>
      </c>
      <c r="H10">
        <v>438271</v>
      </c>
      <c r="I10">
        <v>183536</v>
      </c>
      <c r="J10">
        <v>145120</v>
      </c>
      <c r="K10">
        <v>143847</v>
      </c>
      <c r="L10">
        <v>45187</v>
      </c>
      <c r="M10">
        <v>11184</v>
      </c>
      <c r="N10">
        <v>6572</v>
      </c>
      <c r="O10">
        <v>3691</v>
      </c>
      <c r="P10">
        <v>2863</v>
      </c>
      <c r="Q10">
        <v>2603</v>
      </c>
      <c r="R10">
        <v>2481</v>
      </c>
      <c r="S10">
        <v>2311</v>
      </c>
      <c r="T10">
        <v>2058</v>
      </c>
      <c r="U10">
        <v>1813</v>
      </c>
      <c r="V10">
        <v>1496</v>
      </c>
      <c r="W10">
        <v>1144</v>
      </c>
      <c r="X10">
        <v>959</v>
      </c>
      <c r="Y10">
        <v>928</v>
      </c>
      <c r="Z10">
        <v>886</v>
      </c>
      <c r="AA10">
        <v>873</v>
      </c>
      <c r="AB10">
        <v>809</v>
      </c>
      <c r="AC10">
        <v>786</v>
      </c>
      <c r="AD10">
        <v>779</v>
      </c>
      <c r="AE10">
        <v>638</v>
      </c>
      <c r="AF10">
        <v>554</v>
      </c>
      <c r="AG10">
        <v>547</v>
      </c>
      <c r="AH10">
        <v>474</v>
      </c>
      <c r="AI10">
        <v>376</v>
      </c>
      <c r="AJ10">
        <v>370</v>
      </c>
      <c r="AK10">
        <v>322</v>
      </c>
      <c r="AL10">
        <v>291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1003769</v>
      </c>
    </row>
    <row r="11" spans="1:64" hidden="1" x14ac:dyDescent="0.2">
      <c r="A11" t="s">
        <v>1</v>
      </c>
      <c r="C11">
        <v>9</v>
      </c>
      <c r="D11">
        <v>17</v>
      </c>
      <c r="E11" t="s">
        <v>96</v>
      </c>
      <c r="F11">
        <v>2014</v>
      </c>
      <c r="H11">
        <v>513868</v>
      </c>
      <c r="I11">
        <v>311414</v>
      </c>
      <c r="J11">
        <v>49310</v>
      </c>
      <c r="K11">
        <v>37195</v>
      </c>
      <c r="L11">
        <v>21796</v>
      </c>
      <c r="M11">
        <v>10743</v>
      </c>
      <c r="N11">
        <v>6118</v>
      </c>
      <c r="O11">
        <v>5992</v>
      </c>
      <c r="P11">
        <v>5013</v>
      </c>
      <c r="Q11">
        <v>3100</v>
      </c>
      <c r="R11">
        <v>2102</v>
      </c>
      <c r="S11">
        <v>1593</v>
      </c>
      <c r="T11">
        <v>740</v>
      </c>
      <c r="U11">
        <v>728</v>
      </c>
      <c r="V11">
        <v>626</v>
      </c>
      <c r="W11">
        <v>598</v>
      </c>
      <c r="X11">
        <v>485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971421</v>
      </c>
    </row>
    <row r="12" spans="1:64" hidden="1" x14ac:dyDescent="0.2">
      <c r="A12" t="s">
        <v>1</v>
      </c>
      <c r="C12">
        <v>10</v>
      </c>
      <c r="D12">
        <v>16</v>
      </c>
      <c r="E12" t="s">
        <v>97</v>
      </c>
      <c r="F12">
        <v>2014</v>
      </c>
      <c r="H12">
        <v>435077</v>
      </c>
      <c r="I12">
        <v>362054</v>
      </c>
      <c r="J12">
        <v>353203</v>
      </c>
      <c r="K12">
        <v>56835</v>
      </c>
      <c r="L12">
        <v>40135</v>
      </c>
      <c r="M12">
        <v>24660</v>
      </c>
      <c r="N12">
        <v>10018</v>
      </c>
      <c r="O12">
        <v>7732</v>
      </c>
      <c r="P12">
        <v>7462</v>
      </c>
      <c r="Q12">
        <v>5789</v>
      </c>
      <c r="R12">
        <v>2904</v>
      </c>
      <c r="S12">
        <v>2545</v>
      </c>
      <c r="T12">
        <v>2214</v>
      </c>
      <c r="U12">
        <v>2058</v>
      </c>
      <c r="V12">
        <v>1765</v>
      </c>
      <c r="W12">
        <v>1411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1315862</v>
      </c>
    </row>
    <row r="13" spans="1:64" hidden="1" x14ac:dyDescent="0.2">
      <c r="A13" t="s">
        <v>1</v>
      </c>
      <c r="C13">
        <v>11</v>
      </c>
      <c r="D13">
        <v>10</v>
      </c>
      <c r="E13" t="s">
        <v>98</v>
      </c>
      <c r="F13">
        <v>2014</v>
      </c>
      <c r="H13">
        <v>334228</v>
      </c>
      <c r="I13">
        <v>331638</v>
      </c>
      <c r="J13">
        <v>272791</v>
      </c>
      <c r="K13">
        <v>30388</v>
      </c>
      <c r="L13">
        <v>15779</v>
      </c>
      <c r="M13">
        <v>9105</v>
      </c>
      <c r="N13">
        <v>9037</v>
      </c>
      <c r="O13">
        <v>4549</v>
      </c>
      <c r="P13">
        <v>4033</v>
      </c>
      <c r="Q13">
        <v>3252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1014800</v>
      </c>
    </row>
    <row r="14" spans="1:64" hidden="1" x14ac:dyDescent="0.2">
      <c r="A14" t="s">
        <v>1</v>
      </c>
      <c r="C14">
        <v>12</v>
      </c>
      <c r="D14">
        <v>7</v>
      </c>
      <c r="E14" t="s">
        <v>99</v>
      </c>
      <c r="F14">
        <v>2014</v>
      </c>
      <c r="H14">
        <v>420075</v>
      </c>
      <c r="I14">
        <v>403399</v>
      </c>
      <c r="J14">
        <v>183352</v>
      </c>
      <c r="K14">
        <v>54680</v>
      </c>
      <c r="L14">
        <v>22985</v>
      </c>
      <c r="M14">
        <v>12388</v>
      </c>
      <c r="N14">
        <v>12089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1108968</v>
      </c>
    </row>
    <row r="15" spans="1:64" hidden="1" x14ac:dyDescent="0.2">
      <c r="A15" t="s">
        <v>1</v>
      </c>
      <c r="C15">
        <v>13</v>
      </c>
      <c r="D15">
        <v>10</v>
      </c>
      <c r="E15" t="s">
        <v>100</v>
      </c>
      <c r="F15">
        <v>2014</v>
      </c>
      <c r="H15">
        <v>472093</v>
      </c>
      <c r="I15">
        <v>278937</v>
      </c>
      <c r="J15">
        <v>260677</v>
      </c>
      <c r="K15">
        <v>56259</v>
      </c>
      <c r="L15">
        <v>54423</v>
      </c>
      <c r="M15">
        <v>39385</v>
      </c>
      <c r="N15">
        <v>11517</v>
      </c>
      <c r="O15">
        <v>9305</v>
      </c>
      <c r="P15">
        <v>4495</v>
      </c>
      <c r="Q15">
        <v>2308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1189399</v>
      </c>
    </row>
    <row r="16" spans="1:64" hidden="1" x14ac:dyDescent="0.2">
      <c r="A16" t="s">
        <v>1</v>
      </c>
      <c r="C16">
        <v>14</v>
      </c>
      <c r="D16">
        <v>14</v>
      </c>
      <c r="E16" t="s">
        <v>101</v>
      </c>
      <c r="F16">
        <v>2014</v>
      </c>
      <c r="H16">
        <v>448164</v>
      </c>
      <c r="I16">
        <v>417620</v>
      </c>
      <c r="J16">
        <v>183249</v>
      </c>
      <c r="K16">
        <v>54035</v>
      </c>
      <c r="L16">
        <v>35004</v>
      </c>
      <c r="M16">
        <v>26805</v>
      </c>
      <c r="N16">
        <v>10907</v>
      </c>
      <c r="O16">
        <v>9029</v>
      </c>
      <c r="P16">
        <v>7721</v>
      </c>
      <c r="Q16">
        <v>6847</v>
      </c>
      <c r="R16">
        <v>5551</v>
      </c>
      <c r="S16">
        <v>2600</v>
      </c>
      <c r="T16">
        <v>2342</v>
      </c>
      <c r="U16">
        <v>1858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1211732</v>
      </c>
    </row>
    <row r="17" spans="1:51" hidden="1" x14ac:dyDescent="0.2">
      <c r="A17" t="s">
        <v>1</v>
      </c>
      <c r="C17">
        <v>15</v>
      </c>
      <c r="D17">
        <v>13</v>
      </c>
      <c r="E17" t="s">
        <v>102</v>
      </c>
      <c r="F17">
        <v>2014</v>
      </c>
      <c r="H17">
        <v>661639</v>
      </c>
      <c r="I17">
        <v>269065</v>
      </c>
      <c r="J17">
        <v>187139</v>
      </c>
      <c r="K17">
        <v>14034</v>
      </c>
      <c r="L17">
        <v>9536</v>
      </c>
      <c r="M17">
        <v>9178</v>
      </c>
      <c r="N17">
        <v>7350</v>
      </c>
      <c r="O17">
        <v>5569</v>
      </c>
      <c r="P17">
        <v>3211</v>
      </c>
      <c r="Q17">
        <v>2258</v>
      </c>
      <c r="R17">
        <v>2098</v>
      </c>
      <c r="S17">
        <v>2013</v>
      </c>
      <c r="T17">
        <v>1541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1174631</v>
      </c>
    </row>
    <row r="18" spans="1:51" hidden="1" x14ac:dyDescent="0.2">
      <c r="A18" t="s">
        <v>1</v>
      </c>
      <c r="C18">
        <v>16</v>
      </c>
      <c r="D18">
        <v>18</v>
      </c>
      <c r="E18" t="s">
        <v>103</v>
      </c>
      <c r="F18">
        <v>2014</v>
      </c>
      <c r="H18">
        <v>320569</v>
      </c>
      <c r="I18">
        <v>285577</v>
      </c>
      <c r="J18">
        <v>215904</v>
      </c>
      <c r="K18">
        <v>128472</v>
      </c>
      <c r="L18">
        <v>94044</v>
      </c>
      <c r="M18">
        <v>14034</v>
      </c>
      <c r="N18">
        <v>13663</v>
      </c>
      <c r="O18">
        <v>6853</v>
      </c>
      <c r="P18">
        <v>6704</v>
      </c>
      <c r="Q18">
        <v>6637</v>
      </c>
      <c r="R18">
        <v>6224</v>
      </c>
      <c r="S18">
        <v>5879</v>
      </c>
      <c r="T18">
        <v>3925</v>
      </c>
      <c r="U18">
        <v>3662</v>
      </c>
      <c r="V18">
        <v>3498</v>
      </c>
      <c r="W18">
        <v>3443</v>
      </c>
      <c r="X18">
        <v>3091</v>
      </c>
      <c r="Y18">
        <v>2193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1124372</v>
      </c>
    </row>
    <row r="19" spans="1:51" hidden="1" x14ac:dyDescent="0.2">
      <c r="A19" t="s">
        <v>1</v>
      </c>
      <c r="C19">
        <v>17</v>
      </c>
      <c r="D19">
        <v>28</v>
      </c>
      <c r="E19" t="s">
        <v>104</v>
      </c>
      <c r="F19">
        <v>2014</v>
      </c>
      <c r="H19">
        <v>422434</v>
      </c>
      <c r="I19">
        <v>410230</v>
      </c>
      <c r="J19">
        <v>187702</v>
      </c>
      <c r="K19">
        <v>89124</v>
      </c>
      <c r="L19">
        <v>9460</v>
      </c>
      <c r="M19">
        <v>8055</v>
      </c>
      <c r="N19">
        <v>6506</v>
      </c>
      <c r="O19">
        <v>5401</v>
      </c>
      <c r="P19">
        <v>5368</v>
      </c>
      <c r="Q19">
        <v>5002</v>
      </c>
      <c r="R19">
        <v>4991</v>
      </c>
      <c r="S19">
        <v>4761</v>
      </c>
      <c r="T19">
        <v>4484</v>
      </c>
      <c r="U19">
        <v>4139</v>
      </c>
      <c r="V19">
        <v>1617</v>
      </c>
      <c r="W19">
        <v>1491</v>
      </c>
      <c r="X19">
        <v>1434</v>
      </c>
      <c r="Y19">
        <v>1342</v>
      </c>
      <c r="Z19">
        <v>1274</v>
      </c>
      <c r="AA19">
        <v>1202</v>
      </c>
      <c r="AB19">
        <v>1116</v>
      </c>
      <c r="AC19">
        <v>1063</v>
      </c>
      <c r="AD19">
        <v>1021</v>
      </c>
      <c r="AE19">
        <v>983</v>
      </c>
      <c r="AF19">
        <v>964</v>
      </c>
      <c r="AG19">
        <v>917</v>
      </c>
      <c r="AH19">
        <v>889</v>
      </c>
      <c r="AI19">
        <v>879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1183849</v>
      </c>
    </row>
    <row r="20" spans="1:51" hidden="1" x14ac:dyDescent="0.2">
      <c r="A20" t="s">
        <v>1</v>
      </c>
      <c r="C20">
        <v>18</v>
      </c>
      <c r="D20">
        <v>12</v>
      </c>
      <c r="E20" t="s">
        <v>105</v>
      </c>
      <c r="F20">
        <v>2014</v>
      </c>
      <c r="H20">
        <v>413191</v>
      </c>
      <c r="I20">
        <v>321793</v>
      </c>
      <c r="J20">
        <v>52884</v>
      </c>
      <c r="K20">
        <v>38898</v>
      </c>
      <c r="L20">
        <v>23215</v>
      </c>
      <c r="M20">
        <v>16532</v>
      </c>
      <c r="N20">
        <v>8951</v>
      </c>
      <c r="O20">
        <v>8569</v>
      </c>
      <c r="P20">
        <v>7688</v>
      </c>
      <c r="Q20">
        <v>7587</v>
      </c>
      <c r="R20">
        <v>5692</v>
      </c>
      <c r="S20">
        <v>4614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909614</v>
      </c>
    </row>
    <row r="21" spans="1:51" hidden="1" x14ac:dyDescent="0.2">
      <c r="A21" t="s">
        <v>1</v>
      </c>
      <c r="C21">
        <v>19</v>
      </c>
      <c r="D21">
        <v>11</v>
      </c>
      <c r="E21" t="s">
        <v>106</v>
      </c>
      <c r="F21">
        <v>2014</v>
      </c>
      <c r="H21">
        <v>556545</v>
      </c>
      <c r="I21">
        <v>428853</v>
      </c>
      <c r="J21">
        <v>24171</v>
      </c>
      <c r="K21">
        <v>11423</v>
      </c>
      <c r="L21">
        <v>8049</v>
      </c>
      <c r="M21">
        <v>6138</v>
      </c>
      <c r="N21">
        <v>5132</v>
      </c>
      <c r="O21">
        <v>5026</v>
      </c>
      <c r="P21">
        <v>2559</v>
      </c>
      <c r="Q21">
        <v>2144</v>
      </c>
      <c r="R21">
        <v>2075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1052115</v>
      </c>
    </row>
    <row r="22" spans="1:51" hidden="1" x14ac:dyDescent="0.2">
      <c r="A22" t="s">
        <v>1</v>
      </c>
      <c r="C22">
        <v>20</v>
      </c>
      <c r="D22">
        <v>10</v>
      </c>
      <c r="E22" t="s">
        <v>107</v>
      </c>
      <c r="F22">
        <v>2014</v>
      </c>
      <c r="H22">
        <v>536549</v>
      </c>
      <c r="I22">
        <v>429638</v>
      </c>
      <c r="J22">
        <v>122487</v>
      </c>
      <c r="K22">
        <v>6528</v>
      </c>
      <c r="L22">
        <v>6401</v>
      </c>
      <c r="M22">
        <v>5125</v>
      </c>
      <c r="N22">
        <v>4092</v>
      </c>
      <c r="O22">
        <v>3603</v>
      </c>
      <c r="P22">
        <v>3388</v>
      </c>
      <c r="Q22">
        <v>2505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1120316</v>
      </c>
    </row>
    <row r="23" spans="1:51" hidden="1" x14ac:dyDescent="0.2">
      <c r="A23" t="s">
        <v>1</v>
      </c>
      <c r="C23">
        <v>21</v>
      </c>
      <c r="D23">
        <v>23</v>
      </c>
      <c r="E23" t="s">
        <v>108</v>
      </c>
      <c r="F23">
        <v>2014</v>
      </c>
      <c r="H23">
        <v>566832</v>
      </c>
      <c r="I23">
        <v>476344</v>
      </c>
      <c r="J23">
        <v>50632</v>
      </c>
      <c r="K23">
        <v>14947</v>
      </c>
      <c r="L23">
        <v>7329</v>
      </c>
      <c r="M23">
        <v>6644</v>
      </c>
      <c r="N23">
        <v>6175</v>
      </c>
      <c r="O23">
        <v>5418</v>
      </c>
      <c r="P23">
        <v>4323</v>
      </c>
      <c r="Q23">
        <v>2717</v>
      </c>
      <c r="R23">
        <v>2611</v>
      </c>
      <c r="S23">
        <v>2377</v>
      </c>
      <c r="T23">
        <v>1927</v>
      </c>
      <c r="U23">
        <v>1910</v>
      </c>
      <c r="V23">
        <v>1889</v>
      </c>
      <c r="W23">
        <v>1759</v>
      </c>
      <c r="X23">
        <v>1751</v>
      </c>
      <c r="Y23">
        <v>1594</v>
      </c>
      <c r="Z23">
        <v>1540</v>
      </c>
      <c r="AA23">
        <v>1379</v>
      </c>
      <c r="AB23">
        <v>1348</v>
      </c>
      <c r="AC23">
        <v>1118</v>
      </c>
      <c r="AD23">
        <v>994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1163558</v>
      </c>
    </row>
    <row r="24" spans="1:51" hidden="1" x14ac:dyDescent="0.2">
      <c r="A24" t="s">
        <v>1</v>
      </c>
      <c r="C24">
        <v>22</v>
      </c>
      <c r="D24">
        <v>9</v>
      </c>
      <c r="E24" t="s">
        <v>109</v>
      </c>
      <c r="F24">
        <v>2014</v>
      </c>
      <c r="H24">
        <v>568463</v>
      </c>
      <c r="I24">
        <v>520531</v>
      </c>
      <c r="J24">
        <v>17770</v>
      </c>
      <c r="K24">
        <v>14834</v>
      </c>
      <c r="L24">
        <v>8604</v>
      </c>
      <c r="M24">
        <v>6261</v>
      </c>
      <c r="N24">
        <v>5506</v>
      </c>
      <c r="O24">
        <v>3228</v>
      </c>
      <c r="P24">
        <v>2875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1148072</v>
      </c>
    </row>
    <row r="25" spans="1:51" hidden="1" x14ac:dyDescent="0.2">
      <c r="A25" t="s">
        <v>1</v>
      </c>
      <c r="C25">
        <v>23</v>
      </c>
      <c r="D25">
        <v>23</v>
      </c>
      <c r="E25" t="s">
        <v>110</v>
      </c>
      <c r="F25">
        <v>2014</v>
      </c>
      <c r="H25">
        <v>514402</v>
      </c>
      <c r="I25">
        <v>510971</v>
      </c>
      <c r="J25">
        <v>19754</v>
      </c>
      <c r="K25">
        <v>6836</v>
      </c>
      <c r="L25">
        <v>6636</v>
      </c>
      <c r="M25">
        <v>6442</v>
      </c>
      <c r="N25">
        <v>4358</v>
      </c>
      <c r="O25">
        <v>3826</v>
      </c>
      <c r="P25">
        <v>3756</v>
      </c>
      <c r="Q25">
        <v>3473</v>
      </c>
      <c r="R25">
        <v>2511</v>
      </c>
      <c r="S25">
        <v>2356</v>
      </c>
      <c r="T25">
        <v>1907</v>
      </c>
      <c r="U25">
        <v>1837</v>
      </c>
      <c r="V25">
        <v>1697</v>
      </c>
      <c r="W25">
        <v>1495</v>
      </c>
      <c r="X25">
        <v>1417</v>
      </c>
      <c r="Y25">
        <v>1400</v>
      </c>
      <c r="Z25">
        <v>1236</v>
      </c>
      <c r="AA25">
        <v>1161</v>
      </c>
      <c r="AB25">
        <v>1122</v>
      </c>
      <c r="AC25">
        <v>910</v>
      </c>
      <c r="AD25">
        <v>496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1099999</v>
      </c>
    </row>
    <row r="26" spans="1:51" hidden="1" x14ac:dyDescent="0.2">
      <c r="A26" t="s">
        <v>1</v>
      </c>
      <c r="C26">
        <v>24</v>
      </c>
      <c r="D26">
        <v>15</v>
      </c>
      <c r="E26" t="s">
        <v>111</v>
      </c>
      <c r="F26">
        <v>2014</v>
      </c>
      <c r="H26">
        <v>594547</v>
      </c>
      <c r="I26">
        <v>473971</v>
      </c>
      <c r="J26">
        <v>12182</v>
      </c>
      <c r="K26">
        <v>9931</v>
      </c>
      <c r="L26">
        <v>7219</v>
      </c>
      <c r="M26">
        <v>6141</v>
      </c>
      <c r="N26">
        <v>4560</v>
      </c>
      <c r="O26">
        <v>3233</v>
      </c>
      <c r="P26">
        <v>2867</v>
      </c>
      <c r="Q26">
        <v>1684</v>
      </c>
      <c r="R26">
        <v>1171</v>
      </c>
      <c r="S26">
        <v>1110</v>
      </c>
      <c r="T26">
        <v>862</v>
      </c>
      <c r="U26">
        <v>824</v>
      </c>
      <c r="V26">
        <v>625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1120927</v>
      </c>
    </row>
    <row r="27" spans="1:51" hidden="1" x14ac:dyDescent="0.2">
      <c r="A27" t="s">
        <v>1</v>
      </c>
      <c r="C27">
        <v>25</v>
      </c>
      <c r="D27">
        <v>15</v>
      </c>
      <c r="E27" t="s">
        <v>112</v>
      </c>
      <c r="F27">
        <v>2014</v>
      </c>
      <c r="H27">
        <v>630573</v>
      </c>
      <c r="I27">
        <v>463139</v>
      </c>
      <c r="J27">
        <v>21243</v>
      </c>
      <c r="K27">
        <v>11718</v>
      </c>
      <c r="L27">
        <v>7456</v>
      </c>
      <c r="M27">
        <v>6079</v>
      </c>
      <c r="N27">
        <v>5481</v>
      </c>
      <c r="O27">
        <v>1390</v>
      </c>
      <c r="P27">
        <v>1356</v>
      </c>
      <c r="Q27">
        <v>1329</v>
      </c>
      <c r="R27">
        <v>1282</v>
      </c>
      <c r="S27">
        <v>991</v>
      </c>
      <c r="T27">
        <v>989</v>
      </c>
      <c r="U27">
        <v>765</v>
      </c>
      <c r="V27">
        <v>590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1154381</v>
      </c>
    </row>
    <row r="28" spans="1:51" hidden="1" x14ac:dyDescent="0.2">
      <c r="A28" t="s">
        <v>1</v>
      </c>
      <c r="C28">
        <v>26</v>
      </c>
      <c r="D28">
        <v>15</v>
      </c>
      <c r="E28" t="s">
        <v>113</v>
      </c>
      <c r="F28">
        <v>2014</v>
      </c>
      <c r="H28">
        <v>540306</v>
      </c>
      <c r="I28">
        <v>454955</v>
      </c>
      <c r="J28">
        <v>27083</v>
      </c>
      <c r="K28">
        <v>23260</v>
      </c>
      <c r="L28">
        <v>8491</v>
      </c>
      <c r="M28">
        <v>8004</v>
      </c>
      <c r="N28">
        <v>6838</v>
      </c>
      <c r="O28">
        <v>6708</v>
      </c>
      <c r="P28">
        <v>4232</v>
      </c>
      <c r="Q28">
        <v>2286</v>
      </c>
      <c r="R28">
        <v>1605</v>
      </c>
      <c r="S28">
        <v>1350</v>
      </c>
      <c r="T28">
        <v>1298</v>
      </c>
      <c r="U28">
        <v>1281</v>
      </c>
      <c r="V28">
        <v>1250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1088947</v>
      </c>
    </row>
    <row r="29" spans="1:51" hidden="1" x14ac:dyDescent="0.2">
      <c r="A29" t="s">
        <v>1</v>
      </c>
      <c r="C29">
        <v>27</v>
      </c>
      <c r="D29">
        <v>16</v>
      </c>
      <c r="E29" t="s">
        <v>114</v>
      </c>
      <c r="F29">
        <v>2014</v>
      </c>
      <c r="H29">
        <v>623471</v>
      </c>
      <c r="I29">
        <v>521545</v>
      </c>
      <c r="J29">
        <v>11770</v>
      </c>
      <c r="K29">
        <v>11670</v>
      </c>
      <c r="L29">
        <v>7544</v>
      </c>
      <c r="M29">
        <v>4483</v>
      </c>
      <c r="N29">
        <v>3971</v>
      </c>
      <c r="O29">
        <v>3423</v>
      </c>
      <c r="P29">
        <v>2873</v>
      </c>
      <c r="Q29">
        <v>2721</v>
      </c>
      <c r="R29">
        <v>2318</v>
      </c>
      <c r="S29">
        <v>1323</v>
      </c>
      <c r="T29">
        <v>1320</v>
      </c>
      <c r="U29">
        <v>1302</v>
      </c>
      <c r="V29">
        <v>1212</v>
      </c>
      <c r="W29">
        <v>751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1201697</v>
      </c>
    </row>
    <row r="30" spans="1:51" hidden="1" x14ac:dyDescent="0.2">
      <c r="A30" t="s">
        <v>1</v>
      </c>
      <c r="C30">
        <v>28</v>
      </c>
      <c r="D30">
        <v>12</v>
      </c>
      <c r="E30" t="s">
        <v>115</v>
      </c>
      <c r="F30">
        <v>2014</v>
      </c>
      <c r="H30">
        <v>587280</v>
      </c>
      <c r="I30">
        <v>506223</v>
      </c>
      <c r="J30">
        <v>14111</v>
      </c>
      <c r="K30">
        <v>8171</v>
      </c>
      <c r="L30">
        <v>7692</v>
      </c>
      <c r="M30">
        <v>4401</v>
      </c>
      <c r="N30">
        <v>4085</v>
      </c>
      <c r="O30">
        <v>3399</v>
      </c>
      <c r="P30">
        <v>1770</v>
      </c>
      <c r="Q30">
        <v>1597</v>
      </c>
      <c r="R30">
        <v>1405</v>
      </c>
      <c r="S30">
        <v>931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1141065</v>
      </c>
    </row>
    <row r="31" spans="1:51" hidden="1" x14ac:dyDescent="0.2">
      <c r="A31" t="s">
        <v>1</v>
      </c>
      <c r="C31">
        <v>29</v>
      </c>
      <c r="D31">
        <v>23</v>
      </c>
      <c r="E31" t="s">
        <v>116</v>
      </c>
      <c r="F31">
        <v>2014</v>
      </c>
      <c r="H31">
        <v>592953</v>
      </c>
      <c r="I31">
        <v>518239</v>
      </c>
      <c r="J31">
        <v>39760</v>
      </c>
      <c r="K31">
        <v>7539</v>
      </c>
      <c r="L31">
        <v>5296</v>
      </c>
      <c r="M31">
        <v>5294</v>
      </c>
      <c r="N31">
        <v>3582</v>
      </c>
      <c r="O31">
        <v>3088</v>
      </c>
      <c r="P31">
        <v>2809</v>
      </c>
      <c r="Q31">
        <v>2571</v>
      </c>
      <c r="R31">
        <v>2460</v>
      </c>
      <c r="S31">
        <v>1874</v>
      </c>
      <c r="T31">
        <v>1521</v>
      </c>
      <c r="U31">
        <v>1402</v>
      </c>
      <c r="V31">
        <v>1168</v>
      </c>
      <c r="W31">
        <v>1099</v>
      </c>
      <c r="X31">
        <v>1014</v>
      </c>
      <c r="Y31">
        <v>950</v>
      </c>
      <c r="Z31">
        <v>803</v>
      </c>
      <c r="AA31">
        <v>749</v>
      </c>
      <c r="AB31">
        <v>667</v>
      </c>
      <c r="AC31">
        <v>504</v>
      </c>
      <c r="AD31">
        <v>423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1195765</v>
      </c>
    </row>
    <row r="32" spans="1:51" hidden="1" x14ac:dyDescent="0.2">
      <c r="A32" t="s">
        <v>1</v>
      </c>
      <c r="C32">
        <v>30</v>
      </c>
      <c r="D32">
        <v>13</v>
      </c>
      <c r="E32" t="s">
        <v>117</v>
      </c>
      <c r="F32">
        <v>2014</v>
      </c>
      <c r="H32">
        <v>618417</v>
      </c>
      <c r="I32">
        <v>549306</v>
      </c>
      <c r="J32">
        <v>46818</v>
      </c>
      <c r="K32">
        <v>7596</v>
      </c>
      <c r="L32">
        <v>5608</v>
      </c>
      <c r="M32">
        <v>4223</v>
      </c>
      <c r="N32">
        <v>2852</v>
      </c>
      <c r="O32">
        <v>2594</v>
      </c>
      <c r="P32">
        <v>2344</v>
      </c>
      <c r="Q32">
        <v>1636</v>
      </c>
      <c r="R32">
        <v>1455</v>
      </c>
      <c r="S32">
        <v>1169</v>
      </c>
      <c r="T32">
        <v>908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1244926</v>
      </c>
    </row>
    <row r="33" spans="1:64" hidden="1" x14ac:dyDescent="0.2">
      <c r="A33" t="s">
        <v>1</v>
      </c>
      <c r="C33">
        <v>31</v>
      </c>
      <c r="D33">
        <v>12</v>
      </c>
      <c r="E33" t="s">
        <v>118</v>
      </c>
      <c r="F33">
        <v>2014</v>
      </c>
      <c r="H33">
        <v>632464</v>
      </c>
      <c r="I33">
        <v>597184</v>
      </c>
      <c r="J33">
        <v>22943</v>
      </c>
      <c r="K33">
        <v>7032</v>
      </c>
      <c r="L33">
        <v>5985</v>
      </c>
      <c r="M33">
        <v>5142</v>
      </c>
      <c r="N33">
        <v>4911</v>
      </c>
      <c r="O33">
        <v>1877</v>
      </c>
      <c r="P33">
        <v>1404</v>
      </c>
      <c r="Q33">
        <v>1118</v>
      </c>
      <c r="R33">
        <v>1025</v>
      </c>
      <c r="S33">
        <v>973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1282058</v>
      </c>
    </row>
    <row r="34" spans="1:64" hidden="1" x14ac:dyDescent="0.2">
      <c r="A34" t="s">
        <v>1</v>
      </c>
      <c r="C34">
        <v>32</v>
      </c>
      <c r="D34">
        <v>15</v>
      </c>
      <c r="E34" t="s">
        <v>119</v>
      </c>
      <c r="F34">
        <v>2014</v>
      </c>
      <c r="H34">
        <v>578145</v>
      </c>
      <c r="I34">
        <v>545391</v>
      </c>
      <c r="J34">
        <v>23072</v>
      </c>
      <c r="K34">
        <v>8414</v>
      </c>
      <c r="L34">
        <v>8113</v>
      </c>
      <c r="M34">
        <v>6146</v>
      </c>
      <c r="N34">
        <v>3948</v>
      </c>
      <c r="O34">
        <v>3657</v>
      </c>
      <c r="P34">
        <v>2967</v>
      </c>
      <c r="Q34">
        <v>1206</v>
      </c>
      <c r="R34">
        <v>823</v>
      </c>
      <c r="S34">
        <v>749</v>
      </c>
      <c r="T34">
        <v>720</v>
      </c>
      <c r="U34">
        <v>668</v>
      </c>
      <c r="V34">
        <v>615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1184634</v>
      </c>
    </row>
    <row r="35" spans="1:64" hidden="1" x14ac:dyDescent="0.2">
      <c r="A35" t="s">
        <v>1</v>
      </c>
      <c r="C35">
        <v>33</v>
      </c>
      <c r="D35">
        <v>16</v>
      </c>
      <c r="E35" t="s">
        <v>120</v>
      </c>
      <c r="F35">
        <v>2014</v>
      </c>
      <c r="H35">
        <v>589861</v>
      </c>
      <c r="I35">
        <v>574302</v>
      </c>
      <c r="J35">
        <v>13356</v>
      </c>
      <c r="K35">
        <v>5864</v>
      </c>
      <c r="L35">
        <v>5781</v>
      </c>
      <c r="M35">
        <v>4393</v>
      </c>
      <c r="N35">
        <v>3724</v>
      </c>
      <c r="O35">
        <v>3207</v>
      </c>
      <c r="P35">
        <v>1936</v>
      </c>
      <c r="Q35">
        <v>1392</v>
      </c>
      <c r="R35">
        <v>999</v>
      </c>
      <c r="S35">
        <v>879</v>
      </c>
      <c r="T35">
        <v>756</v>
      </c>
      <c r="U35">
        <v>658</v>
      </c>
      <c r="V35">
        <v>625</v>
      </c>
      <c r="W35">
        <v>492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1208225</v>
      </c>
    </row>
    <row r="36" spans="1:64" hidden="1" x14ac:dyDescent="0.2">
      <c r="A36" t="s">
        <v>1</v>
      </c>
      <c r="C36">
        <v>34</v>
      </c>
      <c r="D36">
        <v>15</v>
      </c>
      <c r="E36" t="s">
        <v>121</v>
      </c>
      <c r="F36">
        <v>2014</v>
      </c>
      <c r="H36">
        <v>622411</v>
      </c>
      <c r="I36">
        <v>516645</v>
      </c>
      <c r="J36">
        <v>16378</v>
      </c>
      <c r="K36">
        <v>11784</v>
      </c>
      <c r="L36">
        <v>7189</v>
      </c>
      <c r="M36">
        <v>7115</v>
      </c>
      <c r="N36">
        <v>5598</v>
      </c>
      <c r="O36">
        <v>5400</v>
      </c>
      <c r="P36">
        <v>2708</v>
      </c>
      <c r="Q36">
        <v>2499</v>
      </c>
      <c r="R36">
        <v>2437</v>
      </c>
      <c r="S36">
        <v>1495</v>
      </c>
      <c r="T36">
        <v>1325</v>
      </c>
      <c r="U36">
        <v>1036</v>
      </c>
      <c r="V36">
        <v>936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1204956</v>
      </c>
    </row>
    <row r="37" spans="1:64" hidden="1" x14ac:dyDescent="0.2">
      <c r="A37" t="s">
        <v>1</v>
      </c>
      <c r="C37">
        <v>35</v>
      </c>
      <c r="D37">
        <v>13</v>
      </c>
      <c r="E37" t="s">
        <v>122</v>
      </c>
      <c r="F37">
        <v>2014</v>
      </c>
      <c r="H37">
        <v>472782</v>
      </c>
      <c r="I37">
        <v>428651</v>
      </c>
      <c r="J37">
        <v>116603</v>
      </c>
      <c r="K37">
        <v>11393</v>
      </c>
      <c r="L37">
        <v>9385</v>
      </c>
      <c r="M37">
        <v>6522</v>
      </c>
      <c r="N37">
        <v>5746</v>
      </c>
      <c r="O37">
        <v>3600</v>
      </c>
      <c r="P37">
        <v>2820</v>
      </c>
      <c r="Q37">
        <v>2605</v>
      </c>
      <c r="R37">
        <v>2021</v>
      </c>
      <c r="S37">
        <v>1990</v>
      </c>
      <c r="T37">
        <v>1614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1065732</v>
      </c>
    </row>
    <row r="38" spans="1:64" hidden="1" x14ac:dyDescent="0.2">
      <c r="A38" t="s">
        <v>1</v>
      </c>
      <c r="C38">
        <v>36</v>
      </c>
      <c r="D38">
        <v>14</v>
      </c>
      <c r="E38" t="s">
        <v>123</v>
      </c>
      <c r="F38">
        <v>2014</v>
      </c>
      <c r="H38">
        <v>610288</v>
      </c>
      <c r="I38">
        <v>548297</v>
      </c>
      <c r="J38">
        <v>16719</v>
      </c>
      <c r="K38">
        <v>8857</v>
      </c>
      <c r="L38">
        <v>6542</v>
      </c>
      <c r="M38">
        <v>6227</v>
      </c>
      <c r="N38">
        <v>3031</v>
      </c>
      <c r="O38">
        <v>2800</v>
      </c>
      <c r="P38">
        <v>2274</v>
      </c>
      <c r="Q38">
        <v>2076</v>
      </c>
      <c r="R38">
        <v>1599</v>
      </c>
      <c r="S38">
        <v>1388</v>
      </c>
      <c r="T38">
        <v>1095</v>
      </c>
      <c r="U38">
        <v>952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1212145</v>
      </c>
    </row>
    <row r="39" spans="1:64" hidden="1" x14ac:dyDescent="0.2">
      <c r="A39" t="s">
        <v>1</v>
      </c>
      <c r="C39">
        <v>37</v>
      </c>
      <c r="D39">
        <v>13</v>
      </c>
      <c r="E39" t="s">
        <v>124</v>
      </c>
      <c r="F39">
        <v>2014</v>
      </c>
      <c r="H39">
        <v>604291</v>
      </c>
      <c r="I39">
        <v>506966</v>
      </c>
      <c r="J39">
        <v>36452</v>
      </c>
      <c r="K39">
        <v>8189</v>
      </c>
      <c r="L39">
        <v>4590</v>
      </c>
      <c r="M39">
        <v>4521</v>
      </c>
      <c r="N39">
        <v>3101</v>
      </c>
      <c r="O39">
        <v>2332</v>
      </c>
      <c r="P39">
        <v>2032</v>
      </c>
      <c r="Q39">
        <v>1275</v>
      </c>
      <c r="R39">
        <v>1257</v>
      </c>
      <c r="S39">
        <v>1152</v>
      </c>
      <c r="T39">
        <v>1099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1177257</v>
      </c>
    </row>
    <row r="40" spans="1:64" hidden="1" x14ac:dyDescent="0.2">
      <c r="A40" t="s">
        <v>1</v>
      </c>
      <c r="C40">
        <v>38</v>
      </c>
      <c r="D40">
        <v>15</v>
      </c>
      <c r="E40" t="s">
        <v>125</v>
      </c>
      <c r="F40">
        <v>2014</v>
      </c>
      <c r="H40">
        <v>671983</v>
      </c>
      <c r="I40">
        <v>481660</v>
      </c>
      <c r="J40">
        <v>14319</v>
      </c>
      <c r="K40">
        <v>6058</v>
      </c>
      <c r="L40">
        <v>5515</v>
      </c>
      <c r="M40">
        <v>3809</v>
      </c>
      <c r="N40">
        <v>3401</v>
      </c>
      <c r="O40">
        <v>3219</v>
      </c>
      <c r="P40">
        <v>2565</v>
      </c>
      <c r="Q40">
        <v>2240</v>
      </c>
      <c r="R40">
        <v>1821</v>
      </c>
      <c r="S40">
        <v>1217</v>
      </c>
      <c r="T40">
        <v>1034</v>
      </c>
      <c r="U40">
        <v>933</v>
      </c>
      <c r="V40">
        <v>888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1200662</v>
      </c>
    </row>
    <row r="41" spans="1:64" hidden="1" x14ac:dyDescent="0.2">
      <c r="A41" t="s">
        <v>1</v>
      </c>
      <c r="C41">
        <v>39</v>
      </c>
      <c r="D41">
        <v>15</v>
      </c>
      <c r="E41" t="s">
        <v>126</v>
      </c>
      <c r="F41">
        <v>2014</v>
      </c>
      <c r="H41">
        <v>576396</v>
      </c>
      <c r="I41">
        <v>562918</v>
      </c>
      <c r="J41">
        <v>22870</v>
      </c>
      <c r="K41">
        <v>5578</v>
      </c>
      <c r="L41">
        <v>5549</v>
      </c>
      <c r="M41">
        <v>4112</v>
      </c>
      <c r="N41">
        <v>3299</v>
      </c>
      <c r="O41">
        <v>1424</v>
      </c>
      <c r="P41">
        <v>999</v>
      </c>
      <c r="Q41">
        <v>875</v>
      </c>
      <c r="R41">
        <v>820</v>
      </c>
      <c r="S41">
        <v>760</v>
      </c>
      <c r="T41">
        <v>736</v>
      </c>
      <c r="U41">
        <v>686</v>
      </c>
      <c r="V41">
        <v>626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1187648</v>
      </c>
    </row>
    <row r="42" spans="1:64" hidden="1" x14ac:dyDescent="0.2">
      <c r="A42" t="s">
        <v>1</v>
      </c>
      <c r="C42">
        <v>40</v>
      </c>
      <c r="D42">
        <v>15</v>
      </c>
      <c r="E42" t="s">
        <v>127</v>
      </c>
      <c r="F42">
        <v>2014</v>
      </c>
      <c r="H42">
        <v>580376</v>
      </c>
      <c r="I42">
        <v>542951</v>
      </c>
      <c r="J42">
        <v>33333</v>
      </c>
      <c r="K42">
        <v>11168</v>
      </c>
      <c r="L42">
        <v>9815</v>
      </c>
      <c r="M42">
        <v>8690</v>
      </c>
      <c r="N42">
        <v>7280</v>
      </c>
      <c r="O42">
        <v>6036</v>
      </c>
      <c r="P42">
        <v>2875</v>
      </c>
      <c r="Q42">
        <v>2510</v>
      </c>
      <c r="R42">
        <v>1829</v>
      </c>
      <c r="S42">
        <v>1696</v>
      </c>
      <c r="T42">
        <v>1645</v>
      </c>
      <c r="U42">
        <v>1455</v>
      </c>
      <c r="V42">
        <v>1403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1213062</v>
      </c>
    </row>
    <row r="43" spans="1:64" hidden="1" x14ac:dyDescent="0.2">
      <c r="A43" t="s">
        <v>1</v>
      </c>
      <c r="C43">
        <v>41</v>
      </c>
      <c r="D43">
        <v>10</v>
      </c>
      <c r="E43" t="s">
        <v>128</v>
      </c>
      <c r="F43">
        <v>2014</v>
      </c>
      <c r="H43">
        <v>601752</v>
      </c>
      <c r="I43">
        <v>426990</v>
      </c>
      <c r="J43">
        <v>59777</v>
      </c>
      <c r="K43">
        <v>29332</v>
      </c>
      <c r="L43">
        <v>15086</v>
      </c>
      <c r="M43">
        <v>8189</v>
      </c>
      <c r="N43">
        <v>7116</v>
      </c>
      <c r="O43">
        <v>3896</v>
      </c>
      <c r="P43">
        <v>3549</v>
      </c>
      <c r="Q43">
        <v>2630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1158317</v>
      </c>
    </row>
    <row r="44" spans="1:64" hidden="1" x14ac:dyDescent="0.2">
      <c r="A44" t="s">
        <v>1</v>
      </c>
      <c r="C44">
        <v>42</v>
      </c>
      <c r="D44">
        <v>8</v>
      </c>
      <c r="E44" t="s">
        <v>129</v>
      </c>
      <c r="F44">
        <v>2014</v>
      </c>
      <c r="H44">
        <v>594862</v>
      </c>
      <c r="I44">
        <v>550724</v>
      </c>
      <c r="J44">
        <v>16572</v>
      </c>
      <c r="K44">
        <v>15897</v>
      </c>
      <c r="L44">
        <v>6996</v>
      </c>
      <c r="M44">
        <v>5740</v>
      </c>
      <c r="N44">
        <v>4321</v>
      </c>
      <c r="O44">
        <v>3803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1198915</v>
      </c>
    </row>
    <row r="45" spans="1:64" hidden="1" x14ac:dyDescent="0.2">
      <c r="A45" t="s">
        <v>2</v>
      </c>
      <c r="C45">
        <v>43</v>
      </c>
      <c r="D45">
        <v>9</v>
      </c>
      <c r="E45" t="s">
        <v>130</v>
      </c>
      <c r="F45">
        <v>2014</v>
      </c>
      <c r="H45">
        <v>169367</v>
      </c>
      <c r="I45">
        <v>127629</v>
      </c>
      <c r="J45">
        <v>14664</v>
      </c>
      <c r="K45">
        <v>9135</v>
      </c>
      <c r="L45">
        <v>6065</v>
      </c>
      <c r="M45">
        <v>3647</v>
      </c>
      <c r="N45">
        <v>2362</v>
      </c>
      <c r="O45">
        <v>1816</v>
      </c>
      <c r="P45">
        <v>980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335665</v>
      </c>
    </row>
    <row r="46" spans="1:64" x14ac:dyDescent="0.2">
      <c r="A46" t="s">
        <v>2</v>
      </c>
      <c r="C46">
        <v>44</v>
      </c>
      <c r="D46">
        <v>4</v>
      </c>
      <c r="E46" t="s">
        <v>131</v>
      </c>
      <c r="F46">
        <v>2014</v>
      </c>
      <c r="G46" t="str">
        <f>IF(BH46,"OWNCM",IF(BK46,"WPCW","PBP"))</f>
        <v>WPCW</v>
      </c>
      <c r="H46">
        <v>118455</v>
      </c>
      <c r="I46">
        <v>105977</v>
      </c>
      <c r="J46">
        <v>32354</v>
      </c>
      <c r="K46">
        <v>4505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261291</v>
      </c>
      <c r="AZ46" s="7">
        <f>MAX(H46:K46)/AY46</f>
        <v>0.45334512095709384</v>
      </c>
      <c r="BA46" s="8">
        <f>IF(AZ46&lt;50%,1,0)</f>
        <v>1</v>
      </c>
      <c r="BB46" s="11">
        <f>H46/$AY46</f>
        <v>0.45334512095709384</v>
      </c>
      <c r="BC46" s="11">
        <f t="shared" ref="BC46:BE46" si="0">I46/$AY46</f>
        <v>0.40558993612485694</v>
      </c>
      <c r="BD46" s="11">
        <f t="shared" si="0"/>
        <v>0.12382362959305908</v>
      </c>
      <c r="BE46" s="11">
        <f t="shared" si="0"/>
        <v>1.7241313324990144E-2</v>
      </c>
      <c r="BF46" s="6">
        <f>IF((BB46+BE46)&gt;(BC46+BD46),1,0)</f>
        <v>0</v>
      </c>
      <c r="BG46" s="6">
        <f>IF(BF46=1,0,1)</f>
        <v>1</v>
      </c>
      <c r="BH46" s="9">
        <f>IF(BF46,IF(AND('4 candidates_LS-2014'!BB46&gt;OWNCM_lim!$G$26,'4 candidates_LS-2014'!BB46&lt;=OWNCM_lim!$N$26,'4 candidates_LS-2014'!BC46&gt;OWNCM_lim!$G$28,'4 candidates_LS-2014'!BC46&lt;=OWNCM_lim!$N$28,'4 candidates_LS-2014'!BD46&gt;OWNCM_lim!$G$30,'4 candidates_LS-2014'!BD46&lt;=OWNCM_lim!$N$30,'4 candidates_LS-2014'!BE46&gt;OWNCM_lim!$G$32,'4 candidates_LS-2014'!BE46&lt;=OWNCM_lim!$N$32),1,0),IF(AND('4 candidates_LS-2014'!BB46&gt;OWNCM_lim!$G$38,'4 candidates_LS-2014'!BB46&lt;=OWNCM_lim!$N$38,'4 candidates_LS-2014'!BC46&gt;OWNCM_lim!$G$40,'4 candidates_LS-2014'!BC46&lt;=OWNCM_lim!$N$40,'4 candidates_LS-2014'!BD46&gt;OWNCM_lim!$G$42,'4 candidates_LS-2014'!BD46&lt;=OWNCM_lim!$N$42,'4 candidates_LS-2014'!BE46&gt;OWNCM_lim!$G$44,'4 candidates_LS-2014'!BE46&lt;=OWNCM_lim!$N$44),1,0))</f>
        <v>0</v>
      </c>
      <c r="BI46" s="9">
        <f>IF(BH46,0,IF(AND(BB46&gt;OWNCM_lim!$G$59,'4 candidates_LS-2014'!BB46&lt;=OWNCM_lim!$N$59,'4 candidates_LS-2014'!BC46&gt;OWNCM_lim!$G$61,'4 candidates_LS-2014'!BC46&lt;=OWNCM_lim!$N$61,'4 candidates_LS-2014'!BD46&gt;OWNCM_lim!$G$63,'4 candidates_LS-2014'!BD46&lt;=OWNCM_lim!$N$63,'4 candidates_LS-2014'!BE46&gt;OWNCM_lim!$G$65,'4 candidates_LS-2014'!BE46&lt;=OWNCM_lim!$N$65),1,0))</f>
        <v>0</v>
      </c>
      <c r="BJ46" s="9">
        <f>IF(BH46,0,IF(AND(BB46&gt;OWNCM_lim!$G$80,'4 candidates_LS-2014'!BB46&lt;=OWNCM_lim!$N$80,'4 candidates_LS-2014'!BC46&gt;OWNCM_lim!$G$82,'4 candidates_LS-2014'!BC46&lt;=OWNCM_lim!$N$82,'4 candidates_LS-2014'!BD46&gt;OWNCM_lim!$G$84,'4 candidates_LS-2014'!BD46&lt;=OWNCM_lim!$N$84,'4 candidates_LS-2014'!BE46&gt;OWNCM_lim!$G$86,'4 candidates_LS-2014'!BE46&lt;=OWNCM_lim!$N$86),1,0))</f>
        <v>1</v>
      </c>
      <c r="BK46" s="6">
        <f>IF(BH46=0,IF(BI46=1,1,IF(BJ46=1,1,0)))</f>
        <v>1</v>
      </c>
      <c r="BL46" s="6">
        <f>IF(AND(BH46=0,BK46=0),1,0)</f>
        <v>0</v>
      </c>
    </row>
    <row r="47" spans="1:64" hidden="1" x14ac:dyDescent="0.2">
      <c r="A47" t="s">
        <v>3</v>
      </c>
      <c r="C47">
        <v>45</v>
      </c>
      <c r="D47">
        <v>16</v>
      </c>
      <c r="E47" t="s">
        <v>132</v>
      </c>
      <c r="F47">
        <v>2014</v>
      </c>
      <c r="H47">
        <v>362866</v>
      </c>
      <c r="I47">
        <v>260772</v>
      </c>
      <c r="J47">
        <v>226562</v>
      </c>
      <c r="K47">
        <v>5556</v>
      </c>
      <c r="L47">
        <v>4266</v>
      </c>
      <c r="M47">
        <v>3658</v>
      </c>
      <c r="N47">
        <v>3437</v>
      </c>
      <c r="O47">
        <v>3114</v>
      </c>
      <c r="P47">
        <v>2465</v>
      </c>
      <c r="Q47">
        <v>2447</v>
      </c>
      <c r="R47">
        <v>2392</v>
      </c>
      <c r="S47">
        <v>2275</v>
      </c>
      <c r="T47">
        <v>1974</v>
      </c>
      <c r="U47">
        <v>1880</v>
      </c>
      <c r="V47">
        <v>1664</v>
      </c>
      <c r="W47">
        <v>1592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886920</v>
      </c>
    </row>
    <row r="48" spans="1:64" hidden="1" x14ac:dyDescent="0.2">
      <c r="A48" t="s">
        <v>3</v>
      </c>
      <c r="C48">
        <v>46</v>
      </c>
      <c r="D48">
        <v>18</v>
      </c>
      <c r="E48" t="s">
        <v>133</v>
      </c>
      <c r="F48">
        <v>2014</v>
      </c>
      <c r="H48">
        <v>336451</v>
      </c>
      <c r="I48">
        <v>301210</v>
      </c>
      <c r="J48">
        <v>85530</v>
      </c>
      <c r="K48">
        <v>12460</v>
      </c>
      <c r="L48">
        <v>8595</v>
      </c>
      <c r="M48">
        <v>8577</v>
      </c>
      <c r="N48">
        <v>8282</v>
      </c>
      <c r="O48">
        <v>7679</v>
      </c>
      <c r="P48">
        <v>6221</v>
      </c>
      <c r="Q48">
        <v>4310</v>
      </c>
      <c r="R48">
        <v>3347</v>
      </c>
      <c r="S48">
        <v>3151</v>
      </c>
      <c r="T48">
        <v>3118</v>
      </c>
      <c r="U48">
        <v>2740</v>
      </c>
      <c r="V48">
        <v>2462</v>
      </c>
      <c r="W48">
        <v>2170</v>
      </c>
      <c r="X48">
        <v>1922</v>
      </c>
      <c r="Y48">
        <v>1605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799830</v>
      </c>
    </row>
    <row r="49" spans="1:51" hidden="1" x14ac:dyDescent="0.2">
      <c r="A49" t="s">
        <v>3</v>
      </c>
      <c r="C49">
        <v>47</v>
      </c>
      <c r="D49">
        <v>6</v>
      </c>
      <c r="E49" t="s">
        <v>134</v>
      </c>
      <c r="F49">
        <v>2014</v>
      </c>
      <c r="H49">
        <v>213152</v>
      </c>
      <c r="I49">
        <v>189057</v>
      </c>
      <c r="J49">
        <v>108299</v>
      </c>
      <c r="K49">
        <v>11762</v>
      </c>
      <c r="L49">
        <v>11747</v>
      </c>
      <c r="M49">
        <v>9263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543280</v>
      </c>
    </row>
    <row r="50" spans="1:51" hidden="1" x14ac:dyDescent="0.2">
      <c r="A50" t="s">
        <v>3</v>
      </c>
      <c r="C50">
        <v>48</v>
      </c>
      <c r="D50">
        <v>16</v>
      </c>
      <c r="E50" t="s">
        <v>135</v>
      </c>
      <c r="F50">
        <v>2014</v>
      </c>
      <c r="H50">
        <v>592569</v>
      </c>
      <c r="I50">
        <v>362839</v>
      </c>
      <c r="J50">
        <v>298985</v>
      </c>
      <c r="K50">
        <v>40208</v>
      </c>
      <c r="L50">
        <v>23816</v>
      </c>
      <c r="M50">
        <v>9897</v>
      </c>
      <c r="N50">
        <v>7874</v>
      </c>
      <c r="O50">
        <v>5935</v>
      </c>
      <c r="P50">
        <v>5811</v>
      </c>
      <c r="Q50">
        <v>4607</v>
      </c>
      <c r="R50">
        <v>4468</v>
      </c>
      <c r="S50">
        <v>3277</v>
      </c>
      <c r="T50">
        <v>2785</v>
      </c>
      <c r="U50">
        <v>2723</v>
      </c>
      <c r="V50">
        <v>2375</v>
      </c>
      <c r="W50">
        <v>1455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1369624</v>
      </c>
    </row>
    <row r="51" spans="1:51" hidden="1" x14ac:dyDescent="0.2">
      <c r="A51" t="s">
        <v>3</v>
      </c>
      <c r="C51">
        <v>49</v>
      </c>
      <c r="D51">
        <v>7</v>
      </c>
      <c r="E51" t="s">
        <v>136</v>
      </c>
      <c r="F51">
        <v>2014</v>
      </c>
      <c r="H51">
        <v>634428</v>
      </c>
      <c r="I51">
        <v>278649</v>
      </c>
      <c r="J51">
        <v>243759</v>
      </c>
      <c r="K51">
        <v>20074</v>
      </c>
      <c r="L51">
        <v>18183</v>
      </c>
      <c r="M51">
        <v>17537</v>
      </c>
      <c r="N51">
        <v>11239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1223869</v>
      </c>
    </row>
    <row r="52" spans="1:51" hidden="1" x14ac:dyDescent="0.2">
      <c r="A52" t="s">
        <v>3</v>
      </c>
      <c r="C52">
        <v>50</v>
      </c>
      <c r="D52">
        <v>16</v>
      </c>
      <c r="E52" t="s">
        <v>137</v>
      </c>
      <c r="F52">
        <v>2014</v>
      </c>
      <c r="H52">
        <v>394702</v>
      </c>
      <c r="I52">
        <v>352361</v>
      </c>
      <c r="J52">
        <v>277802</v>
      </c>
      <c r="K52">
        <v>73733</v>
      </c>
      <c r="L52">
        <v>27575</v>
      </c>
      <c r="M52">
        <v>24444</v>
      </c>
      <c r="N52">
        <v>20135</v>
      </c>
      <c r="O52">
        <v>10944</v>
      </c>
      <c r="P52">
        <v>5710</v>
      </c>
      <c r="Q52">
        <v>4785</v>
      </c>
      <c r="R52">
        <v>3433</v>
      </c>
      <c r="S52">
        <v>3099</v>
      </c>
      <c r="T52">
        <v>1937</v>
      </c>
      <c r="U52">
        <v>1859</v>
      </c>
      <c r="V52">
        <v>1695</v>
      </c>
      <c r="W52">
        <v>1649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1205863</v>
      </c>
    </row>
    <row r="53" spans="1:51" hidden="1" x14ac:dyDescent="0.2">
      <c r="A53" t="s">
        <v>3</v>
      </c>
      <c r="C53">
        <v>51</v>
      </c>
      <c r="D53">
        <v>19</v>
      </c>
      <c r="E53" t="s">
        <v>138</v>
      </c>
      <c r="F53">
        <v>2014</v>
      </c>
      <c r="H53">
        <v>764985</v>
      </c>
      <c r="I53">
        <v>449201</v>
      </c>
      <c r="J53">
        <v>137254</v>
      </c>
      <c r="K53">
        <v>86546</v>
      </c>
      <c r="L53">
        <v>12432</v>
      </c>
      <c r="M53">
        <v>8162</v>
      </c>
      <c r="N53">
        <v>7345</v>
      </c>
      <c r="O53">
        <v>6720</v>
      </c>
      <c r="P53">
        <v>6636</v>
      </c>
      <c r="Q53">
        <v>5782</v>
      </c>
      <c r="R53">
        <v>4809</v>
      </c>
      <c r="S53">
        <v>3540</v>
      </c>
      <c r="T53">
        <v>3240</v>
      </c>
      <c r="U53">
        <v>2845</v>
      </c>
      <c r="V53">
        <v>2629</v>
      </c>
      <c r="W53">
        <v>2532</v>
      </c>
      <c r="X53">
        <v>2411</v>
      </c>
      <c r="Y53">
        <v>2385</v>
      </c>
      <c r="Z53">
        <v>2275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1511729</v>
      </c>
    </row>
    <row r="54" spans="1:51" hidden="1" x14ac:dyDescent="0.2">
      <c r="A54" t="s">
        <v>3</v>
      </c>
      <c r="C54">
        <v>52</v>
      </c>
      <c r="D54">
        <v>13</v>
      </c>
      <c r="E54" t="s">
        <v>139</v>
      </c>
      <c r="F54">
        <v>2014</v>
      </c>
      <c r="H54">
        <v>486357</v>
      </c>
      <c r="I54">
        <v>463473</v>
      </c>
      <c r="J54">
        <v>86347</v>
      </c>
      <c r="K54">
        <v>74710</v>
      </c>
      <c r="L54">
        <v>66467</v>
      </c>
      <c r="M54">
        <v>12443</v>
      </c>
      <c r="N54">
        <v>10722</v>
      </c>
      <c r="O54">
        <v>8341</v>
      </c>
      <c r="P54">
        <v>7600</v>
      </c>
      <c r="Q54">
        <v>5531</v>
      </c>
      <c r="R54">
        <v>4164</v>
      </c>
      <c r="S54">
        <v>3658</v>
      </c>
      <c r="T54">
        <v>3424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1233237</v>
      </c>
    </row>
    <row r="55" spans="1:51" hidden="1" x14ac:dyDescent="0.2">
      <c r="A55" t="s">
        <v>3</v>
      </c>
      <c r="C55">
        <v>53</v>
      </c>
      <c r="D55">
        <v>10</v>
      </c>
      <c r="E55" t="s">
        <v>140</v>
      </c>
      <c r="F55">
        <v>2014</v>
      </c>
      <c r="H55">
        <v>446511</v>
      </c>
      <c r="I55">
        <v>360491</v>
      </c>
      <c r="J55">
        <v>62730</v>
      </c>
      <c r="K55">
        <v>40489</v>
      </c>
      <c r="L55">
        <v>24910</v>
      </c>
      <c r="M55">
        <v>16667</v>
      </c>
      <c r="N55">
        <v>10725</v>
      </c>
      <c r="O55">
        <v>8712</v>
      </c>
      <c r="P55">
        <v>5207</v>
      </c>
      <c r="Q55">
        <v>4246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980688</v>
      </c>
    </row>
    <row r="56" spans="1:51" hidden="1" x14ac:dyDescent="0.2">
      <c r="A56" t="s">
        <v>3</v>
      </c>
      <c r="C56">
        <v>54</v>
      </c>
      <c r="D56">
        <v>9</v>
      </c>
      <c r="E56" t="s">
        <v>141</v>
      </c>
      <c r="F56">
        <v>2014</v>
      </c>
      <c r="H56">
        <v>494146</v>
      </c>
      <c r="I56">
        <v>350587</v>
      </c>
      <c r="J56">
        <v>314012</v>
      </c>
      <c r="K56">
        <v>35142</v>
      </c>
      <c r="L56">
        <v>11325</v>
      </c>
      <c r="M56">
        <v>8782</v>
      </c>
      <c r="N56">
        <v>6835</v>
      </c>
      <c r="O56">
        <v>6462</v>
      </c>
      <c r="P56">
        <v>2783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1230074</v>
      </c>
    </row>
    <row r="57" spans="1:51" hidden="1" x14ac:dyDescent="0.2">
      <c r="A57" t="s">
        <v>3</v>
      </c>
      <c r="C57">
        <v>55</v>
      </c>
      <c r="D57">
        <v>14</v>
      </c>
      <c r="E57" t="s">
        <v>142</v>
      </c>
      <c r="F57">
        <v>2014</v>
      </c>
      <c r="H57">
        <v>443315</v>
      </c>
      <c r="I57">
        <v>349441</v>
      </c>
      <c r="J57">
        <v>231295</v>
      </c>
      <c r="K57">
        <v>78132</v>
      </c>
      <c r="L57">
        <v>12403</v>
      </c>
      <c r="M57">
        <v>9583</v>
      </c>
      <c r="N57">
        <v>9133</v>
      </c>
      <c r="O57">
        <v>8271</v>
      </c>
      <c r="P57">
        <v>6538</v>
      </c>
      <c r="Q57">
        <v>5433</v>
      </c>
      <c r="R57">
        <v>4985</v>
      </c>
      <c r="S57">
        <v>2966</v>
      </c>
      <c r="T57">
        <v>2584</v>
      </c>
      <c r="U57">
        <v>2411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1166490</v>
      </c>
    </row>
    <row r="58" spans="1:51" hidden="1" x14ac:dyDescent="0.2">
      <c r="A58" t="s">
        <v>3</v>
      </c>
      <c r="C58">
        <v>56</v>
      </c>
      <c r="D58">
        <v>11</v>
      </c>
      <c r="E58" t="s">
        <v>143</v>
      </c>
      <c r="F58">
        <v>2014</v>
      </c>
      <c r="H58">
        <v>456420</v>
      </c>
      <c r="I58">
        <v>354000</v>
      </c>
      <c r="J58">
        <v>46626</v>
      </c>
      <c r="K58">
        <v>28930</v>
      </c>
      <c r="L58">
        <v>14648</v>
      </c>
      <c r="M58">
        <v>7331</v>
      </c>
      <c r="N58">
        <v>5759</v>
      </c>
      <c r="O58">
        <v>5754</v>
      </c>
      <c r="P58">
        <v>4737</v>
      </c>
      <c r="Q58">
        <v>3659</v>
      </c>
      <c r="R58">
        <v>3472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931336</v>
      </c>
    </row>
    <row r="59" spans="1:51" hidden="1" x14ac:dyDescent="0.2">
      <c r="A59" t="s">
        <v>3</v>
      </c>
      <c r="C59">
        <v>57</v>
      </c>
      <c r="D59">
        <v>7</v>
      </c>
      <c r="E59" t="s">
        <v>144</v>
      </c>
      <c r="F59">
        <v>2014</v>
      </c>
      <c r="H59">
        <v>494364</v>
      </c>
      <c r="I59">
        <v>309017</v>
      </c>
      <c r="J59">
        <v>45710</v>
      </c>
      <c r="K59">
        <v>16809</v>
      </c>
      <c r="L59">
        <v>9374</v>
      </c>
      <c r="M59">
        <v>8582</v>
      </c>
      <c r="N59">
        <v>7112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890968</v>
      </c>
    </row>
    <row r="60" spans="1:51" hidden="1" x14ac:dyDescent="0.2">
      <c r="A60" t="s">
        <v>3</v>
      </c>
      <c r="C60">
        <v>58</v>
      </c>
      <c r="D60">
        <v>14</v>
      </c>
      <c r="E60" t="s">
        <v>145</v>
      </c>
      <c r="F60">
        <v>2014</v>
      </c>
      <c r="H60">
        <v>612543</v>
      </c>
      <c r="I60">
        <v>320405</v>
      </c>
      <c r="J60">
        <v>81753</v>
      </c>
      <c r="K60">
        <v>37343</v>
      </c>
      <c r="L60">
        <v>11204</v>
      </c>
      <c r="M60">
        <v>9095</v>
      </c>
      <c r="N60">
        <v>6896</v>
      </c>
      <c r="O60">
        <v>6335</v>
      </c>
      <c r="P60">
        <v>6013</v>
      </c>
      <c r="Q60">
        <v>5903</v>
      </c>
      <c r="R60">
        <v>4721</v>
      </c>
      <c r="S60">
        <v>4119</v>
      </c>
      <c r="T60">
        <v>2893</v>
      </c>
      <c r="U60">
        <v>2752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1111975</v>
      </c>
    </row>
    <row r="61" spans="1:51" hidden="1" x14ac:dyDescent="0.2">
      <c r="A61" t="s">
        <v>4</v>
      </c>
      <c r="C61">
        <v>59</v>
      </c>
      <c r="D61">
        <v>15</v>
      </c>
      <c r="E61" t="s">
        <v>146</v>
      </c>
      <c r="F61">
        <v>2014</v>
      </c>
      <c r="H61">
        <v>364013</v>
      </c>
      <c r="I61">
        <v>246218</v>
      </c>
      <c r="J61">
        <v>81612</v>
      </c>
      <c r="K61">
        <v>58817</v>
      </c>
      <c r="L61">
        <v>35888</v>
      </c>
      <c r="M61">
        <v>27603</v>
      </c>
      <c r="N61">
        <v>15515</v>
      </c>
      <c r="O61">
        <v>12581</v>
      </c>
      <c r="P61">
        <v>11668</v>
      </c>
      <c r="Q61">
        <v>11509</v>
      </c>
      <c r="R61">
        <v>10786</v>
      </c>
      <c r="S61">
        <v>8013</v>
      </c>
      <c r="T61">
        <v>6008</v>
      </c>
      <c r="U61">
        <v>5525</v>
      </c>
      <c r="V61">
        <v>4371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900127</v>
      </c>
    </row>
    <row r="62" spans="1:51" hidden="1" x14ac:dyDescent="0.2">
      <c r="A62" t="s">
        <v>4</v>
      </c>
      <c r="C62">
        <v>60</v>
      </c>
      <c r="D62">
        <v>13</v>
      </c>
      <c r="E62" t="s">
        <v>147</v>
      </c>
      <c r="F62">
        <v>2014</v>
      </c>
      <c r="H62">
        <v>371232</v>
      </c>
      <c r="I62">
        <v>260978</v>
      </c>
      <c r="J62">
        <v>121800</v>
      </c>
      <c r="K62">
        <v>18804</v>
      </c>
      <c r="L62">
        <v>17157</v>
      </c>
      <c r="M62">
        <v>12415</v>
      </c>
      <c r="N62">
        <v>11260</v>
      </c>
      <c r="O62">
        <v>10502</v>
      </c>
      <c r="P62">
        <v>9123</v>
      </c>
      <c r="Q62">
        <v>6474</v>
      </c>
      <c r="R62">
        <v>5818</v>
      </c>
      <c r="S62">
        <v>4940</v>
      </c>
      <c r="T62">
        <v>4297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854800</v>
      </c>
    </row>
    <row r="63" spans="1:51" hidden="1" x14ac:dyDescent="0.2">
      <c r="A63" t="s">
        <v>4</v>
      </c>
      <c r="C63">
        <v>61</v>
      </c>
      <c r="D63">
        <v>16</v>
      </c>
      <c r="E63" t="s">
        <v>148</v>
      </c>
      <c r="F63">
        <v>2014</v>
      </c>
      <c r="H63">
        <v>400452</v>
      </c>
      <c r="I63">
        <v>208289</v>
      </c>
      <c r="J63">
        <v>128604</v>
      </c>
      <c r="K63">
        <v>13261</v>
      </c>
      <c r="L63">
        <v>11371</v>
      </c>
      <c r="M63">
        <v>10759</v>
      </c>
      <c r="N63">
        <v>10505</v>
      </c>
      <c r="O63">
        <v>10356</v>
      </c>
      <c r="P63">
        <v>7512</v>
      </c>
      <c r="Q63">
        <v>4893</v>
      </c>
      <c r="R63">
        <v>3027</v>
      </c>
      <c r="S63">
        <v>2946</v>
      </c>
      <c r="T63">
        <v>2819</v>
      </c>
      <c r="U63">
        <v>2811</v>
      </c>
      <c r="V63">
        <v>2607</v>
      </c>
      <c r="W63">
        <v>2459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822671</v>
      </c>
    </row>
    <row r="64" spans="1:51" hidden="1" x14ac:dyDescent="0.2">
      <c r="A64" t="s">
        <v>4</v>
      </c>
      <c r="C64">
        <v>62</v>
      </c>
      <c r="D64">
        <v>16</v>
      </c>
      <c r="E64" t="s">
        <v>149</v>
      </c>
      <c r="F64">
        <v>2014</v>
      </c>
      <c r="H64">
        <v>372506</v>
      </c>
      <c r="I64">
        <v>236267</v>
      </c>
      <c r="J64">
        <v>79108</v>
      </c>
      <c r="K64">
        <v>46008</v>
      </c>
      <c r="L64">
        <v>26446</v>
      </c>
      <c r="M64">
        <v>18681</v>
      </c>
      <c r="N64">
        <v>12161</v>
      </c>
      <c r="O64">
        <v>11670</v>
      </c>
      <c r="P64">
        <v>8256</v>
      </c>
      <c r="Q64">
        <v>8245</v>
      </c>
      <c r="R64">
        <v>5941</v>
      </c>
      <c r="S64">
        <v>4641</v>
      </c>
      <c r="T64">
        <v>4399</v>
      </c>
      <c r="U64">
        <v>3072</v>
      </c>
      <c r="V64">
        <v>2845</v>
      </c>
      <c r="W64">
        <v>2648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842894</v>
      </c>
    </row>
    <row r="65" spans="1:51" hidden="1" x14ac:dyDescent="0.2">
      <c r="A65" t="s">
        <v>4</v>
      </c>
      <c r="C65">
        <v>63</v>
      </c>
      <c r="D65">
        <v>20</v>
      </c>
      <c r="E65" t="s">
        <v>150</v>
      </c>
      <c r="F65">
        <v>2014</v>
      </c>
      <c r="H65">
        <v>411265</v>
      </c>
      <c r="I65">
        <v>263300</v>
      </c>
      <c r="J65">
        <v>97188</v>
      </c>
      <c r="K65">
        <v>20613</v>
      </c>
      <c r="L65">
        <v>18043</v>
      </c>
      <c r="M65">
        <v>11250</v>
      </c>
      <c r="N65">
        <v>8846</v>
      </c>
      <c r="O65">
        <v>8521</v>
      </c>
      <c r="P65">
        <v>7853</v>
      </c>
      <c r="Q65">
        <v>7586</v>
      </c>
      <c r="R65">
        <v>6115</v>
      </c>
      <c r="S65">
        <v>6078</v>
      </c>
      <c r="T65">
        <v>5949</v>
      </c>
      <c r="U65">
        <v>5454</v>
      </c>
      <c r="V65">
        <v>4692</v>
      </c>
      <c r="W65">
        <v>4501</v>
      </c>
      <c r="X65">
        <v>3880</v>
      </c>
      <c r="Y65">
        <v>3695</v>
      </c>
      <c r="Z65">
        <v>2996</v>
      </c>
      <c r="AA65">
        <v>2763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900588</v>
      </c>
    </row>
    <row r="66" spans="1:51" hidden="1" x14ac:dyDescent="0.2">
      <c r="A66" t="s">
        <v>4</v>
      </c>
      <c r="C66">
        <v>64</v>
      </c>
      <c r="D66">
        <v>12</v>
      </c>
      <c r="E66" t="s">
        <v>151</v>
      </c>
      <c r="F66">
        <v>2014</v>
      </c>
      <c r="H66">
        <v>358040</v>
      </c>
      <c r="I66">
        <v>337505</v>
      </c>
      <c r="J66">
        <v>56392</v>
      </c>
      <c r="K66">
        <v>30942</v>
      </c>
      <c r="L66">
        <v>18937</v>
      </c>
      <c r="M66">
        <v>10115</v>
      </c>
      <c r="N66">
        <v>9718</v>
      </c>
      <c r="O66">
        <v>9474</v>
      </c>
      <c r="P66">
        <v>8464</v>
      </c>
      <c r="Q66">
        <v>7453</v>
      </c>
      <c r="R66">
        <v>6750</v>
      </c>
      <c r="S66">
        <v>6663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860453</v>
      </c>
    </row>
    <row r="67" spans="1:51" hidden="1" x14ac:dyDescent="0.2">
      <c r="A67" t="s">
        <v>4</v>
      </c>
      <c r="C67">
        <v>65</v>
      </c>
      <c r="D67">
        <v>20</v>
      </c>
      <c r="E67" t="s">
        <v>152</v>
      </c>
      <c r="F67">
        <v>2014</v>
      </c>
      <c r="H67">
        <v>335481</v>
      </c>
      <c r="I67">
        <v>280073</v>
      </c>
      <c r="J67">
        <v>183591</v>
      </c>
      <c r="K67">
        <v>17790</v>
      </c>
      <c r="L67">
        <v>14190</v>
      </c>
      <c r="M67">
        <v>13833</v>
      </c>
      <c r="N67">
        <v>9823</v>
      </c>
      <c r="O67">
        <v>9441</v>
      </c>
      <c r="P67">
        <v>9388</v>
      </c>
      <c r="Q67">
        <v>8689</v>
      </c>
      <c r="R67">
        <v>8083</v>
      </c>
      <c r="S67">
        <v>8043</v>
      </c>
      <c r="T67">
        <v>7632</v>
      </c>
      <c r="U67">
        <v>7358</v>
      </c>
      <c r="V67">
        <v>5653</v>
      </c>
      <c r="W67">
        <v>5439</v>
      </c>
      <c r="X67">
        <v>4811</v>
      </c>
      <c r="Y67">
        <v>4248</v>
      </c>
      <c r="Z67">
        <v>3956</v>
      </c>
      <c r="AA67">
        <v>3727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941249</v>
      </c>
    </row>
    <row r="68" spans="1:51" hidden="1" x14ac:dyDescent="0.2">
      <c r="A68" t="s">
        <v>4</v>
      </c>
      <c r="C68">
        <v>66</v>
      </c>
      <c r="D68">
        <v>13</v>
      </c>
      <c r="E68" t="s">
        <v>153</v>
      </c>
      <c r="F68">
        <v>2014</v>
      </c>
      <c r="H68">
        <v>332927</v>
      </c>
      <c r="I68">
        <v>273255</v>
      </c>
      <c r="J68">
        <v>249693</v>
      </c>
      <c r="K68">
        <v>21996</v>
      </c>
      <c r="L68">
        <v>21233</v>
      </c>
      <c r="M68">
        <v>14754</v>
      </c>
      <c r="N68">
        <v>11566</v>
      </c>
      <c r="O68">
        <v>10687</v>
      </c>
      <c r="P68">
        <v>9604</v>
      </c>
      <c r="Q68">
        <v>8908</v>
      </c>
      <c r="R68">
        <v>5964</v>
      </c>
      <c r="S68">
        <v>5116</v>
      </c>
      <c r="T68">
        <v>4825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970528</v>
      </c>
    </row>
    <row r="69" spans="1:51" hidden="1" x14ac:dyDescent="0.2">
      <c r="A69" t="s">
        <v>4</v>
      </c>
      <c r="C69">
        <v>67</v>
      </c>
      <c r="D69">
        <v>14</v>
      </c>
      <c r="E69" t="s">
        <v>154</v>
      </c>
      <c r="F69">
        <v>2014</v>
      </c>
      <c r="H69">
        <v>407978</v>
      </c>
      <c r="I69">
        <v>261474</v>
      </c>
      <c r="J69">
        <v>221769</v>
      </c>
      <c r="K69">
        <v>17724</v>
      </c>
      <c r="L69">
        <v>16608</v>
      </c>
      <c r="M69">
        <v>10704</v>
      </c>
      <c r="N69">
        <v>6376</v>
      </c>
      <c r="O69">
        <v>5685</v>
      </c>
      <c r="P69">
        <v>5645</v>
      </c>
      <c r="Q69">
        <v>5292</v>
      </c>
      <c r="R69">
        <v>5149</v>
      </c>
      <c r="S69">
        <v>4646</v>
      </c>
      <c r="T69">
        <v>3411</v>
      </c>
      <c r="U69">
        <v>3350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975811</v>
      </c>
    </row>
    <row r="70" spans="1:51" hidden="1" x14ac:dyDescent="0.2">
      <c r="A70" t="s">
        <v>4</v>
      </c>
      <c r="C70">
        <v>68</v>
      </c>
      <c r="D70">
        <v>11</v>
      </c>
      <c r="E70" t="s">
        <v>155</v>
      </c>
      <c r="F70">
        <v>2014</v>
      </c>
      <c r="H70">
        <v>493461</v>
      </c>
      <c r="I70">
        <v>298849</v>
      </c>
      <c r="J70">
        <v>55822</v>
      </c>
      <c r="K70">
        <v>17206</v>
      </c>
      <c r="L70">
        <v>15010</v>
      </c>
      <c r="M70">
        <v>14903</v>
      </c>
      <c r="N70">
        <v>11392</v>
      </c>
      <c r="O70">
        <v>5714</v>
      </c>
      <c r="P70">
        <v>5559</v>
      </c>
      <c r="Q70">
        <v>5422</v>
      </c>
      <c r="R70">
        <v>5152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928490</v>
      </c>
    </row>
    <row r="71" spans="1:51" hidden="1" x14ac:dyDescent="0.2">
      <c r="A71" t="s">
        <v>4</v>
      </c>
      <c r="C71">
        <v>69</v>
      </c>
      <c r="D71">
        <v>22</v>
      </c>
      <c r="E71" t="s">
        <v>156</v>
      </c>
      <c r="F71">
        <v>2014</v>
      </c>
      <c r="H71">
        <v>431292</v>
      </c>
      <c r="I71">
        <v>316552</v>
      </c>
      <c r="J71">
        <v>100765</v>
      </c>
      <c r="K71">
        <v>33593</v>
      </c>
      <c r="L71">
        <v>15547</v>
      </c>
      <c r="M71">
        <v>10516</v>
      </c>
      <c r="N71">
        <v>9461</v>
      </c>
      <c r="O71">
        <v>9000</v>
      </c>
      <c r="P71">
        <v>8392</v>
      </c>
      <c r="Q71">
        <v>7969</v>
      </c>
      <c r="R71">
        <v>4514</v>
      </c>
      <c r="S71">
        <v>4450</v>
      </c>
      <c r="T71">
        <v>4323</v>
      </c>
      <c r="U71">
        <v>3287</v>
      </c>
      <c r="V71">
        <v>3096</v>
      </c>
      <c r="W71">
        <v>2685</v>
      </c>
      <c r="X71">
        <v>2550</v>
      </c>
      <c r="Y71">
        <v>2489</v>
      </c>
      <c r="Z71">
        <v>2141</v>
      </c>
      <c r="AA71">
        <v>1980</v>
      </c>
      <c r="AB71">
        <v>1675</v>
      </c>
      <c r="AC71">
        <v>1553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977830</v>
      </c>
    </row>
    <row r="72" spans="1:51" hidden="1" x14ac:dyDescent="0.2">
      <c r="A72" t="s">
        <v>4</v>
      </c>
      <c r="C72">
        <v>70</v>
      </c>
      <c r="D72">
        <v>18</v>
      </c>
      <c r="E72" t="s">
        <v>157</v>
      </c>
      <c r="F72">
        <v>2014</v>
      </c>
      <c r="H72">
        <v>418826</v>
      </c>
      <c r="I72">
        <v>302157</v>
      </c>
      <c r="J72">
        <v>124344</v>
      </c>
      <c r="K72">
        <v>50446</v>
      </c>
      <c r="L72">
        <v>18776</v>
      </c>
      <c r="M72">
        <v>16630</v>
      </c>
      <c r="N72">
        <v>11982</v>
      </c>
      <c r="O72">
        <v>11196</v>
      </c>
      <c r="P72">
        <v>9196</v>
      </c>
      <c r="Q72">
        <v>9162</v>
      </c>
      <c r="R72">
        <v>8321</v>
      </c>
      <c r="S72">
        <v>7912</v>
      </c>
      <c r="T72">
        <v>6324</v>
      </c>
      <c r="U72">
        <v>5849</v>
      </c>
      <c r="V72">
        <v>5137</v>
      </c>
      <c r="W72">
        <v>4664</v>
      </c>
      <c r="X72">
        <v>3440</v>
      </c>
      <c r="Y72">
        <v>3370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1017732</v>
      </c>
    </row>
    <row r="73" spans="1:51" hidden="1" x14ac:dyDescent="0.2">
      <c r="A73" t="s">
        <v>4</v>
      </c>
      <c r="C73">
        <v>71</v>
      </c>
      <c r="D73">
        <v>13</v>
      </c>
      <c r="E73" t="s">
        <v>158</v>
      </c>
      <c r="F73">
        <v>2014</v>
      </c>
      <c r="H73">
        <v>368937</v>
      </c>
      <c r="I73">
        <v>312728</v>
      </c>
      <c r="J73">
        <v>252534</v>
      </c>
      <c r="K73">
        <v>21924</v>
      </c>
      <c r="L73">
        <v>18084</v>
      </c>
      <c r="M73">
        <v>12247</v>
      </c>
      <c r="N73">
        <v>9585</v>
      </c>
      <c r="O73">
        <v>9538</v>
      </c>
      <c r="P73">
        <v>9039</v>
      </c>
      <c r="Q73">
        <v>6649</v>
      </c>
      <c r="R73">
        <v>5370</v>
      </c>
      <c r="S73">
        <v>4396</v>
      </c>
      <c r="T73">
        <v>3768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1034799</v>
      </c>
    </row>
    <row r="74" spans="1:51" hidden="1" x14ac:dyDescent="0.2">
      <c r="A74" t="s">
        <v>4</v>
      </c>
      <c r="C74">
        <v>72</v>
      </c>
      <c r="D74">
        <v>16</v>
      </c>
      <c r="E74" t="s">
        <v>159</v>
      </c>
      <c r="F74">
        <v>2014</v>
      </c>
      <c r="H74">
        <v>314949</v>
      </c>
      <c r="I74">
        <v>279906</v>
      </c>
      <c r="J74">
        <v>104494</v>
      </c>
      <c r="K74">
        <v>25277</v>
      </c>
      <c r="L74">
        <v>21103</v>
      </c>
      <c r="M74">
        <v>16125</v>
      </c>
      <c r="N74">
        <v>11606</v>
      </c>
      <c r="O74">
        <v>10080</v>
      </c>
      <c r="P74">
        <v>9111</v>
      </c>
      <c r="Q74">
        <v>8835</v>
      </c>
      <c r="R74">
        <v>7550</v>
      </c>
      <c r="S74">
        <v>5963</v>
      </c>
      <c r="T74">
        <v>4558</v>
      </c>
      <c r="U74">
        <v>2956</v>
      </c>
      <c r="V74">
        <v>2929</v>
      </c>
      <c r="W74">
        <v>2900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828342</v>
      </c>
    </row>
    <row r="75" spans="1:51" hidden="1" x14ac:dyDescent="0.2">
      <c r="A75" t="s">
        <v>4</v>
      </c>
      <c r="C75">
        <v>73</v>
      </c>
      <c r="D75">
        <v>30</v>
      </c>
      <c r="E75" t="s">
        <v>160</v>
      </c>
      <c r="F75">
        <v>2014</v>
      </c>
      <c r="H75">
        <v>469295</v>
      </c>
      <c r="I75">
        <v>246873</v>
      </c>
      <c r="J75">
        <v>85140</v>
      </c>
      <c r="K75">
        <v>19945</v>
      </c>
      <c r="L75">
        <v>13283</v>
      </c>
      <c r="M75">
        <v>9690</v>
      </c>
      <c r="N75">
        <v>9202</v>
      </c>
      <c r="O75">
        <v>9069</v>
      </c>
      <c r="P75">
        <v>8223</v>
      </c>
      <c r="Q75">
        <v>7978</v>
      </c>
      <c r="R75">
        <v>7569</v>
      </c>
      <c r="S75">
        <v>6945</v>
      </c>
      <c r="T75">
        <v>6118</v>
      </c>
      <c r="U75">
        <v>5211</v>
      </c>
      <c r="V75">
        <v>4309</v>
      </c>
      <c r="W75">
        <v>3746</v>
      </c>
      <c r="X75">
        <v>3734</v>
      </c>
      <c r="Y75">
        <v>3365</v>
      </c>
      <c r="Z75">
        <v>3334</v>
      </c>
      <c r="AA75">
        <v>3147</v>
      </c>
      <c r="AB75">
        <v>2755</v>
      </c>
      <c r="AC75">
        <v>2471</v>
      </c>
      <c r="AD75">
        <v>2370</v>
      </c>
      <c r="AE75">
        <v>2364</v>
      </c>
      <c r="AF75">
        <v>2354</v>
      </c>
      <c r="AG75">
        <v>2299</v>
      </c>
      <c r="AH75">
        <v>2271</v>
      </c>
      <c r="AI75">
        <v>2269</v>
      </c>
      <c r="AJ75">
        <v>1809</v>
      </c>
      <c r="AK75">
        <v>1749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948887</v>
      </c>
    </row>
    <row r="76" spans="1:51" hidden="1" x14ac:dyDescent="0.2">
      <c r="A76" t="s">
        <v>4</v>
      </c>
      <c r="C76">
        <v>74</v>
      </c>
      <c r="D76">
        <v>23</v>
      </c>
      <c r="E76" t="s">
        <v>161</v>
      </c>
      <c r="F76">
        <v>2014</v>
      </c>
      <c r="H76">
        <v>305450</v>
      </c>
      <c r="I76">
        <v>206183</v>
      </c>
      <c r="J76">
        <v>145182</v>
      </c>
      <c r="K76">
        <v>104229</v>
      </c>
      <c r="L76">
        <v>23677</v>
      </c>
      <c r="M76">
        <v>22455</v>
      </c>
      <c r="N76">
        <v>15178</v>
      </c>
      <c r="O76">
        <v>12369</v>
      </c>
      <c r="P76">
        <v>11540</v>
      </c>
      <c r="Q76">
        <v>11075</v>
      </c>
      <c r="R76">
        <v>8254</v>
      </c>
      <c r="S76">
        <v>7768</v>
      </c>
      <c r="T76">
        <v>7182</v>
      </c>
      <c r="U76">
        <v>6430</v>
      </c>
      <c r="V76">
        <v>6060</v>
      </c>
      <c r="W76">
        <v>5497</v>
      </c>
      <c r="X76">
        <v>5483</v>
      </c>
      <c r="Y76">
        <v>5218</v>
      </c>
      <c r="Z76">
        <v>4000</v>
      </c>
      <c r="AA76">
        <v>3866</v>
      </c>
      <c r="AB76">
        <v>3191</v>
      </c>
      <c r="AC76">
        <v>2983</v>
      </c>
      <c r="AD76">
        <v>2667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925937</v>
      </c>
    </row>
    <row r="77" spans="1:51" hidden="1" x14ac:dyDescent="0.2">
      <c r="A77" t="s">
        <v>4</v>
      </c>
      <c r="C77">
        <v>75</v>
      </c>
      <c r="D77">
        <v>15</v>
      </c>
      <c r="E77" t="s">
        <v>162</v>
      </c>
      <c r="F77">
        <v>2014</v>
      </c>
      <c r="H77">
        <v>478773</v>
      </c>
      <c r="I77">
        <v>191837</v>
      </c>
      <c r="J77">
        <v>100419</v>
      </c>
      <c r="K77">
        <v>17841</v>
      </c>
      <c r="L77">
        <v>16751</v>
      </c>
      <c r="M77">
        <v>16680</v>
      </c>
      <c r="N77">
        <v>14162</v>
      </c>
      <c r="O77">
        <v>13983</v>
      </c>
      <c r="P77">
        <v>12423</v>
      </c>
      <c r="Q77">
        <v>9509</v>
      </c>
      <c r="R77">
        <v>8491</v>
      </c>
      <c r="S77">
        <v>7147</v>
      </c>
      <c r="T77">
        <v>6264</v>
      </c>
      <c r="U77">
        <v>4717</v>
      </c>
      <c r="V77">
        <v>4586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903583</v>
      </c>
    </row>
    <row r="78" spans="1:51" hidden="1" x14ac:dyDescent="0.2">
      <c r="A78" t="s">
        <v>4</v>
      </c>
      <c r="C78">
        <v>76</v>
      </c>
      <c r="D78">
        <v>14</v>
      </c>
      <c r="E78" t="s">
        <v>163</v>
      </c>
      <c r="F78">
        <v>2014</v>
      </c>
      <c r="H78">
        <v>372670</v>
      </c>
      <c r="I78">
        <v>258823</v>
      </c>
      <c r="J78">
        <v>81006</v>
      </c>
      <c r="K78">
        <v>79239</v>
      </c>
      <c r="L78">
        <v>21409</v>
      </c>
      <c r="M78">
        <v>14584</v>
      </c>
      <c r="N78">
        <v>11757</v>
      </c>
      <c r="O78">
        <v>10542</v>
      </c>
      <c r="P78">
        <v>9580</v>
      </c>
      <c r="Q78">
        <v>8851</v>
      </c>
      <c r="R78">
        <v>5683</v>
      </c>
      <c r="S78">
        <v>4016</v>
      </c>
      <c r="T78">
        <v>3250</v>
      </c>
      <c r="U78">
        <v>2611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884021</v>
      </c>
    </row>
    <row r="79" spans="1:51" hidden="1" x14ac:dyDescent="0.2">
      <c r="A79" t="s">
        <v>4</v>
      </c>
      <c r="C79">
        <v>77</v>
      </c>
      <c r="D79">
        <v>11</v>
      </c>
      <c r="E79" t="s">
        <v>164</v>
      </c>
      <c r="F79">
        <v>2014</v>
      </c>
      <c r="H79">
        <v>320753</v>
      </c>
      <c r="I79">
        <v>282338</v>
      </c>
      <c r="J79">
        <v>149483</v>
      </c>
      <c r="K79">
        <v>23404</v>
      </c>
      <c r="L79">
        <v>17186</v>
      </c>
      <c r="M79">
        <v>11599</v>
      </c>
      <c r="N79">
        <v>11189</v>
      </c>
      <c r="O79">
        <v>10602</v>
      </c>
      <c r="P79">
        <v>8874</v>
      </c>
      <c r="Q79">
        <v>6430</v>
      </c>
      <c r="R79">
        <v>4796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846654</v>
      </c>
    </row>
    <row r="80" spans="1:51" hidden="1" x14ac:dyDescent="0.2">
      <c r="A80" t="s">
        <v>4</v>
      </c>
      <c r="C80">
        <v>78</v>
      </c>
      <c r="D80">
        <v>12</v>
      </c>
      <c r="E80" t="s">
        <v>165</v>
      </c>
      <c r="F80">
        <v>2014</v>
      </c>
      <c r="H80">
        <v>355120</v>
      </c>
      <c r="I80">
        <v>314172</v>
      </c>
      <c r="J80">
        <v>107008</v>
      </c>
      <c r="K80">
        <v>19163</v>
      </c>
      <c r="L80">
        <v>15500</v>
      </c>
      <c r="M80">
        <v>14688</v>
      </c>
      <c r="N80">
        <v>9957</v>
      </c>
      <c r="O80">
        <v>9747</v>
      </c>
      <c r="P80">
        <v>6765</v>
      </c>
      <c r="Q80">
        <v>5099</v>
      </c>
      <c r="R80">
        <v>3217</v>
      </c>
      <c r="S80">
        <v>2818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863254</v>
      </c>
    </row>
    <row r="81" spans="1:51" hidden="1" x14ac:dyDescent="0.2">
      <c r="A81" t="s">
        <v>4</v>
      </c>
      <c r="C81">
        <v>79</v>
      </c>
      <c r="D81">
        <v>16</v>
      </c>
      <c r="E81" t="s">
        <v>166</v>
      </c>
      <c r="F81">
        <v>2014</v>
      </c>
      <c r="H81">
        <v>455652</v>
      </c>
      <c r="I81">
        <v>230152</v>
      </c>
      <c r="J81">
        <v>95790</v>
      </c>
      <c r="K81">
        <v>24399</v>
      </c>
      <c r="L81">
        <v>21045</v>
      </c>
      <c r="M81">
        <v>15047</v>
      </c>
      <c r="N81">
        <v>12688</v>
      </c>
      <c r="O81">
        <v>8957</v>
      </c>
      <c r="P81">
        <v>8896</v>
      </c>
      <c r="Q81">
        <v>7544</v>
      </c>
      <c r="R81">
        <v>6344</v>
      </c>
      <c r="S81">
        <v>4185</v>
      </c>
      <c r="T81">
        <v>3882</v>
      </c>
      <c r="U81">
        <v>3711</v>
      </c>
      <c r="V81">
        <v>3216</v>
      </c>
      <c r="W81">
        <v>3198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904706</v>
      </c>
    </row>
    <row r="82" spans="1:51" hidden="1" x14ac:dyDescent="0.2">
      <c r="A82" t="s">
        <v>4</v>
      </c>
      <c r="C82">
        <v>80</v>
      </c>
      <c r="D82">
        <v>20</v>
      </c>
      <c r="E82" t="s">
        <v>167</v>
      </c>
      <c r="F82">
        <v>2014</v>
      </c>
      <c r="H82">
        <v>317352</v>
      </c>
      <c r="I82">
        <v>256883</v>
      </c>
      <c r="J82">
        <v>119669</v>
      </c>
      <c r="K82">
        <v>53044</v>
      </c>
      <c r="L82">
        <v>15198</v>
      </c>
      <c r="M82">
        <v>12520</v>
      </c>
      <c r="N82">
        <v>11990</v>
      </c>
      <c r="O82">
        <v>8917</v>
      </c>
      <c r="P82">
        <v>7969</v>
      </c>
      <c r="Q82">
        <v>7810</v>
      </c>
      <c r="R82">
        <v>7661</v>
      </c>
      <c r="S82">
        <v>6967</v>
      </c>
      <c r="T82">
        <v>6171</v>
      </c>
      <c r="U82">
        <v>5669</v>
      </c>
      <c r="V82">
        <v>5631</v>
      </c>
      <c r="W82">
        <v>4201</v>
      </c>
      <c r="X82">
        <v>3152</v>
      </c>
      <c r="Y82">
        <v>3098</v>
      </c>
      <c r="Z82">
        <v>2536</v>
      </c>
      <c r="AA82">
        <v>2482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858920</v>
      </c>
    </row>
    <row r="83" spans="1:51" hidden="1" x14ac:dyDescent="0.2">
      <c r="A83" t="s">
        <v>4</v>
      </c>
      <c r="C83">
        <v>81</v>
      </c>
      <c r="D83">
        <v>13</v>
      </c>
      <c r="E83" t="s">
        <v>168</v>
      </c>
      <c r="F83">
        <v>2014</v>
      </c>
      <c r="H83">
        <v>270401</v>
      </c>
      <c r="I83">
        <v>263529</v>
      </c>
      <c r="J83">
        <v>200124</v>
      </c>
      <c r="K83">
        <v>29211</v>
      </c>
      <c r="L83">
        <v>15837</v>
      </c>
      <c r="M83">
        <v>13504</v>
      </c>
      <c r="N83">
        <v>12813</v>
      </c>
      <c r="O83">
        <v>12322</v>
      </c>
      <c r="P83">
        <v>11813</v>
      </c>
      <c r="Q83">
        <v>9954</v>
      </c>
      <c r="R83">
        <v>9665</v>
      </c>
      <c r="S83">
        <v>7423</v>
      </c>
      <c r="T83">
        <v>6603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863199</v>
      </c>
    </row>
    <row r="84" spans="1:51" hidden="1" x14ac:dyDescent="0.2">
      <c r="A84" t="s">
        <v>4</v>
      </c>
      <c r="C84">
        <v>82</v>
      </c>
      <c r="D84">
        <v>13</v>
      </c>
      <c r="E84" t="s">
        <v>169</v>
      </c>
      <c r="F84">
        <v>2014</v>
      </c>
      <c r="H84">
        <v>428227</v>
      </c>
      <c r="I84">
        <v>369892</v>
      </c>
      <c r="J84">
        <v>192639</v>
      </c>
      <c r="K84">
        <v>26622</v>
      </c>
      <c r="L84">
        <v>12143</v>
      </c>
      <c r="M84">
        <v>11144</v>
      </c>
      <c r="N84">
        <v>9014</v>
      </c>
      <c r="O84">
        <v>8639</v>
      </c>
      <c r="P84">
        <v>4858</v>
      </c>
      <c r="Q84">
        <v>4605</v>
      </c>
      <c r="R84">
        <v>3405</v>
      </c>
      <c r="S84">
        <v>3344</v>
      </c>
      <c r="T84">
        <v>3323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1077855</v>
      </c>
    </row>
    <row r="85" spans="1:51" hidden="1" x14ac:dyDescent="0.2">
      <c r="A85" t="s">
        <v>4</v>
      </c>
      <c r="C85">
        <v>83</v>
      </c>
      <c r="D85">
        <v>14</v>
      </c>
      <c r="E85" t="s">
        <v>170</v>
      </c>
      <c r="F85">
        <v>2014</v>
      </c>
      <c r="H85">
        <v>313806</v>
      </c>
      <c r="I85">
        <v>237803</v>
      </c>
      <c r="J85">
        <v>220316</v>
      </c>
      <c r="K85">
        <v>24490</v>
      </c>
      <c r="L85">
        <v>23868</v>
      </c>
      <c r="M85">
        <v>14926</v>
      </c>
      <c r="N85">
        <v>14491</v>
      </c>
      <c r="O85">
        <v>13888</v>
      </c>
      <c r="P85">
        <v>6651</v>
      </c>
      <c r="Q85">
        <v>6480</v>
      </c>
      <c r="R85">
        <v>5722</v>
      </c>
      <c r="S85">
        <v>5215</v>
      </c>
      <c r="T85">
        <v>4522</v>
      </c>
      <c r="U85">
        <v>4053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896231</v>
      </c>
    </row>
    <row r="86" spans="1:51" hidden="1" x14ac:dyDescent="0.2">
      <c r="A86" t="s">
        <v>4</v>
      </c>
      <c r="C86">
        <v>84</v>
      </c>
      <c r="D86">
        <v>19</v>
      </c>
      <c r="E86" t="s">
        <v>171</v>
      </c>
      <c r="F86">
        <v>2014</v>
      </c>
      <c r="H86">
        <v>367623</v>
      </c>
      <c r="I86">
        <v>358138</v>
      </c>
      <c r="J86">
        <v>132256</v>
      </c>
      <c r="K86">
        <v>18937</v>
      </c>
      <c r="L86">
        <v>12710</v>
      </c>
      <c r="M86">
        <v>11875</v>
      </c>
      <c r="N86">
        <v>11265</v>
      </c>
      <c r="O86">
        <v>9295</v>
      </c>
      <c r="P86">
        <v>8025</v>
      </c>
      <c r="Q86">
        <v>7122</v>
      </c>
      <c r="R86">
        <v>5830</v>
      </c>
      <c r="S86">
        <v>5778</v>
      </c>
      <c r="T86">
        <v>5165</v>
      </c>
      <c r="U86">
        <v>4734</v>
      </c>
      <c r="V86">
        <v>3444</v>
      </c>
      <c r="W86">
        <v>3251</v>
      </c>
      <c r="X86">
        <v>3147</v>
      </c>
      <c r="Y86">
        <v>3005</v>
      </c>
      <c r="Z86">
        <v>2416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974016</v>
      </c>
    </row>
    <row r="87" spans="1:51" hidden="1" x14ac:dyDescent="0.2">
      <c r="A87" t="s">
        <v>4</v>
      </c>
      <c r="C87">
        <v>85</v>
      </c>
      <c r="D87">
        <v>18</v>
      </c>
      <c r="E87" t="s">
        <v>172</v>
      </c>
      <c r="F87">
        <v>2014</v>
      </c>
      <c r="H87">
        <v>285150</v>
      </c>
      <c r="I87">
        <v>275006</v>
      </c>
      <c r="J87">
        <v>220708</v>
      </c>
      <c r="K87">
        <v>30814</v>
      </c>
      <c r="L87">
        <v>12871</v>
      </c>
      <c r="M87">
        <v>11520</v>
      </c>
      <c r="N87">
        <v>11056</v>
      </c>
      <c r="O87">
        <v>10558</v>
      </c>
      <c r="P87">
        <v>9753</v>
      </c>
      <c r="Q87">
        <v>6058</v>
      </c>
      <c r="R87">
        <v>4721</v>
      </c>
      <c r="S87">
        <v>4412</v>
      </c>
      <c r="T87">
        <v>4317</v>
      </c>
      <c r="U87">
        <v>2977</v>
      </c>
      <c r="V87">
        <v>2481</v>
      </c>
      <c r="W87">
        <v>2405</v>
      </c>
      <c r="X87">
        <v>2280</v>
      </c>
      <c r="Y87">
        <v>2266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899353</v>
      </c>
    </row>
    <row r="88" spans="1:51" hidden="1" x14ac:dyDescent="0.2">
      <c r="A88" t="s">
        <v>4</v>
      </c>
      <c r="C88">
        <v>86</v>
      </c>
      <c r="D88">
        <v>14</v>
      </c>
      <c r="E88" t="s">
        <v>173</v>
      </c>
      <c r="F88">
        <v>2014</v>
      </c>
      <c r="H88">
        <v>352911</v>
      </c>
      <c r="I88">
        <v>243827</v>
      </c>
      <c r="J88">
        <v>182971</v>
      </c>
      <c r="K88">
        <v>50469</v>
      </c>
      <c r="L88">
        <v>15420</v>
      </c>
      <c r="M88">
        <v>11225</v>
      </c>
      <c r="N88">
        <v>11122</v>
      </c>
      <c r="O88">
        <v>10264</v>
      </c>
      <c r="P88">
        <v>8112</v>
      </c>
      <c r="Q88">
        <v>7481</v>
      </c>
      <c r="R88">
        <v>6769</v>
      </c>
      <c r="S88">
        <v>5113</v>
      </c>
      <c r="T88">
        <v>4710</v>
      </c>
      <c r="U88">
        <v>3956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914350</v>
      </c>
    </row>
    <row r="89" spans="1:51" hidden="1" x14ac:dyDescent="0.2">
      <c r="A89" t="s">
        <v>4</v>
      </c>
      <c r="C89">
        <v>87</v>
      </c>
      <c r="D89">
        <v>23</v>
      </c>
      <c r="E89" t="s">
        <v>174</v>
      </c>
      <c r="F89">
        <v>2014</v>
      </c>
      <c r="H89">
        <v>321982</v>
      </c>
      <c r="I89">
        <v>312355</v>
      </c>
      <c r="J89">
        <v>127270</v>
      </c>
      <c r="K89">
        <v>23595</v>
      </c>
      <c r="L89">
        <v>19477</v>
      </c>
      <c r="M89">
        <v>18224</v>
      </c>
      <c r="N89">
        <v>15370</v>
      </c>
      <c r="O89">
        <v>13381</v>
      </c>
      <c r="P89">
        <v>8757</v>
      </c>
      <c r="Q89">
        <v>7472</v>
      </c>
      <c r="R89">
        <v>6788</v>
      </c>
      <c r="S89">
        <v>6346</v>
      </c>
      <c r="T89">
        <v>6048</v>
      </c>
      <c r="U89">
        <v>5452</v>
      </c>
      <c r="V89">
        <v>4613</v>
      </c>
      <c r="W89">
        <v>4600</v>
      </c>
      <c r="X89">
        <v>4236</v>
      </c>
      <c r="Y89">
        <v>3620</v>
      </c>
      <c r="Z89">
        <v>2779</v>
      </c>
      <c r="AA89">
        <v>2604</v>
      </c>
      <c r="AB89">
        <v>2342</v>
      </c>
      <c r="AC89">
        <v>2237</v>
      </c>
      <c r="AD89">
        <v>2213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921761</v>
      </c>
    </row>
    <row r="90" spans="1:51" hidden="1" x14ac:dyDescent="0.2">
      <c r="A90" t="s">
        <v>4</v>
      </c>
      <c r="C90">
        <v>88</v>
      </c>
      <c r="D90">
        <v>19</v>
      </c>
      <c r="E90" t="s">
        <v>175</v>
      </c>
      <c r="F90">
        <v>2014</v>
      </c>
      <c r="H90">
        <v>485905</v>
      </c>
      <c r="I90">
        <v>220100</v>
      </c>
      <c r="J90">
        <v>91024</v>
      </c>
      <c r="K90">
        <v>16381</v>
      </c>
      <c r="L90">
        <v>10836</v>
      </c>
      <c r="M90">
        <v>9691</v>
      </c>
      <c r="N90">
        <v>8834</v>
      </c>
      <c r="O90">
        <v>7727</v>
      </c>
      <c r="P90">
        <v>6057</v>
      </c>
      <c r="Q90">
        <v>3178</v>
      </c>
      <c r="R90">
        <v>3015</v>
      </c>
      <c r="S90">
        <v>2914</v>
      </c>
      <c r="T90">
        <v>2687</v>
      </c>
      <c r="U90">
        <v>2502</v>
      </c>
      <c r="V90">
        <v>2478</v>
      </c>
      <c r="W90">
        <v>2166</v>
      </c>
      <c r="X90">
        <v>1856</v>
      </c>
      <c r="Y90">
        <v>1834</v>
      </c>
      <c r="Z90">
        <v>0</v>
      </c>
      <c r="AA90">
        <v>1243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880428</v>
      </c>
    </row>
    <row r="91" spans="1:51" hidden="1" x14ac:dyDescent="0.2">
      <c r="A91" t="s">
        <v>4</v>
      </c>
      <c r="C91">
        <v>89</v>
      </c>
      <c r="D91">
        <v>21</v>
      </c>
      <c r="E91" t="s">
        <v>176</v>
      </c>
      <c r="F91">
        <v>2014</v>
      </c>
      <c r="H91">
        <v>383262</v>
      </c>
      <c r="I91">
        <v>342940</v>
      </c>
      <c r="J91">
        <v>97228</v>
      </c>
      <c r="K91">
        <v>51623</v>
      </c>
      <c r="L91">
        <v>17188</v>
      </c>
      <c r="M91">
        <v>16645</v>
      </c>
      <c r="N91">
        <v>8184</v>
      </c>
      <c r="O91">
        <v>8084</v>
      </c>
      <c r="P91">
        <v>6269</v>
      </c>
      <c r="Q91">
        <v>5854</v>
      </c>
      <c r="R91">
        <v>5637</v>
      </c>
      <c r="S91">
        <v>5412</v>
      </c>
      <c r="T91">
        <v>4804</v>
      </c>
      <c r="U91">
        <v>4678</v>
      </c>
      <c r="V91">
        <v>4555</v>
      </c>
      <c r="W91">
        <v>4302</v>
      </c>
      <c r="X91">
        <v>3015</v>
      </c>
      <c r="Y91">
        <v>2520</v>
      </c>
      <c r="Z91">
        <v>2484</v>
      </c>
      <c r="AA91">
        <v>2268</v>
      </c>
      <c r="AB91">
        <v>1697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978649</v>
      </c>
    </row>
    <row r="92" spans="1:51" hidden="1" x14ac:dyDescent="0.2">
      <c r="A92" t="s">
        <v>4</v>
      </c>
      <c r="C92">
        <v>90</v>
      </c>
      <c r="D92">
        <v>13</v>
      </c>
      <c r="E92" t="s">
        <v>177</v>
      </c>
      <c r="F92">
        <v>2014</v>
      </c>
      <c r="H92">
        <v>391074</v>
      </c>
      <c r="I92">
        <v>255204</v>
      </c>
      <c r="J92">
        <v>98805</v>
      </c>
      <c r="K92">
        <v>75962</v>
      </c>
      <c r="L92">
        <v>14703</v>
      </c>
      <c r="M92">
        <v>10950</v>
      </c>
      <c r="N92">
        <v>7637</v>
      </c>
      <c r="O92">
        <v>7518</v>
      </c>
      <c r="P92">
        <v>7305</v>
      </c>
      <c r="Q92">
        <v>6886</v>
      </c>
      <c r="R92">
        <v>5879</v>
      </c>
      <c r="S92">
        <v>5680</v>
      </c>
      <c r="T92">
        <v>5610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893213</v>
      </c>
    </row>
    <row r="93" spans="1:51" hidden="1" x14ac:dyDescent="0.2">
      <c r="A93" t="s">
        <v>4</v>
      </c>
      <c r="C93">
        <v>91</v>
      </c>
      <c r="D93">
        <v>17</v>
      </c>
      <c r="E93" t="s">
        <v>178</v>
      </c>
      <c r="F93">
        <v>2014</v>
      </c>
      <c r="H93">
        <v>319012</v>
      </c>
      <c r="I93">
        <v>186674</v>
      </c>
      <c r="J93">
        <v>184788</v>
      </c>
      <c r="K93">
        <v>117012</v>
      </c>
      <c r="L93">
        <v>13051</v>
      </c>
      <c r="M93">
        <v>12422</v>
      </c>
      <c r="N93">
        <v>9179</v>
      </c>
      <c r="O93">
        <v>7879</v>
      </c>
      <c r="P93">
        <v>7514</v>
      </c>
      <c r="Q93">
        <v>6901</v>
      </c>
      <c r="R93">
        <v>6130</v>
      </c>
      <c r="S93">
        <v>5294</v>
      </c>
      <c r="T93">
        <v>3437</v>
      </c>
      <c r="U93">
        <v>2740</v>
      </c>
      <c r="V93">
        <v>2241</v>
      </c>
      <c r="W93">
        <v>2066</v>
      </c>
      <c r="X93">
        <v>1864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888204</v>
      </c>
    </row>
    <row r="94" spans="1:51" hidden="1" x14ac:dyDescent="0.2">
      <c r="A94" t="s">
        <v>4</v>
      </c>
      <c r="C94">
        <v>92</v>
      </c>
      <c r="D94">
        <v>12</v>
      </c>
      <c r="E94" t="s">
        <v>179</v>
      </c>
      <c r="F94">
        <v>2014</v>
      </c>
      <c r="H94">
        <v>366087</v>
      </c>
      <c r="I94">
        <v>302760</v>
      </c>
      <c r="J94">
        <v>93310</v>
      </c>
      <c r="K94">
        <v>31528</v>
      </c>
      <c r="L94">
        <v>13379</v>
      </c>
      <c r="M94">
        <v>11005</v>
      </c>
      <c r="N94">
        <v>7486</v>
      </c>
      <c r="O94">
        <v>6144</v>
      </c>
      <c r="P94">
        <v>4395</v>
      </c>
      <c r="Q94">
        <v>3980</v>
      </c>
      <c r="R94">
        <v>3906</v>
      </c>
      <c r="S94">
        <v>2808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846788</v>
      </c>
    </row>
    <row r="95" spans="1:51" hidden="1" x14ac:dyDescent="0.2">
      <c r="A95" t="s">
        <v>4</v>
      </c>
      <c r="C95">
        <v>93</v>
      </c>
      <c r="D95">
        <v>16</v>
      </c>
      <c r="E95" t="s">
        <v>180</v>
      </c>
      <c r="F95">
        <v>2014</v>
      </c>
      <c r="H95">
        <v>338892</v>
      </c>
      <c r="I95">
        <v>233651</v>
      </c>
      <c r="J95">
        <v>76709</v>
      </c>
      <c r="K95">
        <v>45503</v>
      </c>
      <c r="L95">
        <v>32686</v>
      </c>
      <c r="M95">
        <v>10185</v>
      </c>
      <c r="N95">
        <v>9919</v>
      </c>
      <c r="O95">
        <v>6994</v>
      </c>
      <c r="P95">
        <v>6974</v>
      </c>
      <c r="Q95">
        <v>6938</v>
      </c>
      <c r="R95">
        <v>5459</v>
      </c>
      <c r="S95">
        <v>4795</v>
      </c>
      <c r="T95">
        <v>4002</v>
      </c>
      <c r="U95">
        <v>2813</v>
      </c>
      <c r="V95">
        <v>2359</v>
      </c>
      <c r="W95">
        <v>2048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789927</v>
      </c>
    </row>
    <row r="96" spans="1:51" hidden="1" x14ac:dyDescent="0.2">
      <c r="A96" t="s">
        <v>4</v>
      </c>
      <c r="C96">
        <v>94</v>
      </c>
      <c r="D96">
        <v>16</v>
      </c>
      <c r="E96" t="s">
        <v>181</v>
      </c>
      <c r="F96">
        <v>2014</v>
      </c>
      <c r="H96">
        <v>322647</v>
      </c>
      <c r="I96">
        <v>280307</v>
      </c>
      <c r="J96">
        <v>100851</v>
      </c>
      <c r="K96">
        <v>34365</v>
      </c>
      <c r="L96">
        <v>10625</v>
      </c>
      <c r="M96">
        <v>10580</v>
      </c>
      <c r="N96">
        <v>10352</v>
      </c>
      <c r="O96">
        <v>8874</v>
      </c>
      <c r="P96">
        <v>7757</v>
      </c>
      <c r="Q96">
        <v>6041</v>
      </c>
      <c r="R96">
        <v>4202</v>
      </c>
      <c r="S96">
        <v>3711</v>
      </c>
      <c r="T96">
        <v>3521</v>
      </c>
      <c r="U96">
        <v>2826</v>
      </c>
      <c r="V96">
        <v>2721</v>
      </c>
      <c r="W96">
        <v>2136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811516</v>
      </c>
    </row>
    <row r="97" spans="1:51" hidden="1" x14ac:dyDescent="0.2">
      <c r="A97" t="s">
        <v>4</v>
      </c>
      <c r="C97">
        <v>95</v>
      </c>
      <c r="D97">
        <v>14</v>
      </c>
      <c r="E97" t="s">
        <v>182</v>
      </c>
      <c r="F97">
        <v>2014</v>
      </c>
      <c r="H97">
        <v>307941</v>
      </c>
      <c r="I97">
        <v>241594</v>
      </c>
      <c r="J97">
        <v>136137</v>
      </c>
      <c r="K97">
        <v>27833</v>
      </c>
      <c r="L97">
        <v>17454</v>
      </c>
      <c r="M97">
        <v>9255</v>
      </c>
      <c r="N97">
        <v>8678</v>
      </c>
      <c r="O97">
        <v>7195</v>
      </c>
      <c r="P97">
        <v>6703</v>
      </c>
      <c r="Q97">
        <v>6121</v>
      </c>
      <c r="R97">
        <v>5726</v>
      </c>
      <c r="S97">
        <v>4608</v>
      </c>
      <c r="T97">
        <v>3696</v>
      </c>
      <c r="U97">
        <v>3333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786274</v>
      </c>
    </row>
    <row r="98" spans="1:51" hidden="1" x14ac:dyDescent="0.2">
      <c r="A98" t="s">
        <v>4</v>
      </c>
      <c r="C98">
        <v>96</v>
      </c>
      <c r="D98">
        <v>14</v>
      </c>
      <c r="E98" t="s">
        <v>183</v>
      </c>
      <c r="F98">
        <v>2014</v>
      </c>
      <c r="H98">
        <v>326230</v>
      </c>
      <c r="I98">
        <v>210726</v>
      </c>
      <c r="J98">
        <v>131828</v>
      </c>
      <c r="K98">
        <v>36863</v>
      </c>
      <c r="L98">
        <v>19651</v>
      </c>
      <c r="M98">
        <v>19030</v>
      </c>
      <c r="N98">
        <v>16028</v>
      </c>
      <c r="O98">
        <v>9004</v>
      </c>
      <c r="P98">
        <v>7624</v>
      </c>
      <c r="Q98">
        <v>7549</v>
      </c>
      <c r="R98">
        <v>7312</v>
      </c>
      <c r="S98">
        <v>6065</v>
      </c>
      <c r="T98">
        <v>5924</v>
      </c>
      <c r="U98">
        <v>5544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809378</v>
      </c>
    </row>
    <row r="99" spans="1:51" hidden="1" x14ac:dyDescent="0.2">
      <c r="A99" t="s">
        <v>4</v>
      </c>
      <c r="C99">
        <v>97</v>
      </c>
      <c r="D99">
        <v>18</v>
      </c>
      <c r="E99" t="s">
        <v>184</v>
      </c>
      <c r="F99">
        <v>2014</v>
      </c>
      <c r="H99">
        <v>390248</v>
      </c>
      <c r="I99">
        <v>250091</v>
      </c>
      <c r="J99">
        <v>168217</v>
      </c>
      <c r="K99">
        <v>12072</v>
      </c>
      <c r="L99">
        <v>7997</v>
      </c>
      <c r="M99">
        <v>7489</v>
      </c>
      <c r="N99">
        <v>7324</v>
      </c>
      <c r="O99">
        <v>6736</v>
      </c>
      <c r="P99">
        <v>6443</v>
      </c>
      <c r="Q99">
        <v>4057</v>
      </c>
      <c r="R99">
        <v>3743</v>
      </c>
      <c r="S99">
        <v>3612</v>
      </c>
      <c r="T99">
        <v>3568</v>
      </c>
      <c r="U99">
        <v>3291</v>
      </c>
      <c r="V99">
        <v>3138</v>
      </c>
      <c r="W99">
        <v>2596</v>
      </c>
      <c r="X99">
        <v>2169</v>
      </c>
      <c r="Y99">
        <v>1650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884441</v>
      </c>
    </row>
    <row r="100" spans="1:51" hidden="1" x14ac:dyDescent="0.2">
      <c r="A100" t="s">
        <v>4</v>
      </c>
      <c r="C100">
        <v>98</v>
      </c>
      <c r="D100">
        <v>12</v>
      </c>
      <c r="E100" t="s">
        <v>185</v>
      </c>
      <c r="F100">
        <v>2014</v>
      </c>
      <c r="H100">
        <v>285354</v>
      </c>
      <c r="I100">
        <v>199407</v>
      </c>
      <c r="J100">
        <v>198599</v>
      </c>
      <c r="K100">
        <v>19517</v>
      </c>
      <c r="L100">
        <v>15008</v>
      </c>
      <c r="M100">
        <v>10748</v>
      </c>
      <c r="N100">
        <v>10452</v>
      </c>
      <c r="O100">
        <v>8360</v>
      </c>
      <c r="P100">
        <v>7635</v>
      </c>
      <c r="Q100">
        <v>7159</v>
      </c>
      <c r="R100">
        <v>7147</v>
      </c>
      <c r="S100">
        <v>6253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775639</v>
      </c>
    </row>
    <row r="101" spans="1:51" hidden="1" x14ac:dyDescent="0.2">
      <c r="A101" t="s">
        <v>5</v>
      </c>
      <c r="C101">
        <v>99</v>
      </c>
      <c r="D101">
        <v>8</v>
      </c>
      <c r="E101" t="s">
        <v>186</v>
      </c>
      <c r="F101">
        <v>2014</v>
      </c>
      <c r="H101">
        <v>237903</v>
      </c>
      <c r="I101">
        <v>132304</v>
      </c>
      <c r="J101">
        <v>15857</v>
      </c>
      <c r="K101">
        <v>5770</v>
      </c>
      <c r="L101">
        <v>5640</v>
      </c>
      <c r="M101">
        <v>4128</v>
      </c>
      <c r="N101">
        <v>3216</v>
      </c>
      <c r="O101">
        <v>1813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406631</v>
      </c>
    </row>
    <row r="102" spans="1:51" hidden="1" x14ac:dyDescent="0.2">
      <c r="A102" t="s">
        <v>5</v>
      </c>
      <c r="C102">
        <v>100</v>
      </c>
      <c r="D102">
        <v>13</v>
      </c>
      <c r="E102" t="s">
        <v>187</v>
      </c>
      <c r="F102">
        <v>2014</v>
      </c>
      <c r="H102">
        <v>198776</v>
      </c>
      <c r="I102">
        <v>166446</v>
      </c>
      <c r="J102">
        <v>11941</v>
      </c>
      <c r="K102">
        <v>11246</v>
      </c>
      <c r="L102">
        <v>7152</v>
      </c>
      <c r="M102">
        <v>4437</v>
      </c>
      <c r="N102">
        <v>4333</v>
      </c>
      <c r="O102">
        <v>2586</v>
      </c>
      <c r="P102">
        <v>790</v>
      </c>
      <c r="Q102">
        <v>783</v>
      </c>
      <c r="R102">
        <v>683</v>
      </c>
      <c r="S102">
        <v>666</v>
      </c>
      <c r="T102">
        <v>530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410369</v>
      </c>
    </row>
    <row r="103" spans="1:51" hidden="1" x14ac:dyDescent="0.2">
      <c r="A103" t="s">
        <v>6</v>
      </c>
      <c r="C103">
        <v>101</v>
      </c>
      <c r="D103">
        <v>6</v>
      </c>
      <c r="E103" t="s">
        <v>188</v>
      </c>
      <c r="F103">
        <v>2014</v>
      </c>
      <c r="H103">
        <v>562855</v>
      </c>
      <c r="I103">
        <v>308373</v>
      </c>
      <c r="J103">
        <v>21230</v>
      </c>
      <c r="K103">
        <v>21106</v>
      </c>
      <c r="L103">
        <v>16879</v>
      </c>
      <c r="M103">
        <v>15797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946240</v>
      </c>
    </row>
    <row r="104" spans="1:51" hidden="1" x14ac:dyDescent="0.2">
      <c r="A104" t="s">
        <v>6</v>
      </c>
      <c r="C104">
        <v>102</v>
      </c>
      <c r="D104">
        <v>15</v>
      </c>
      <c r="E104" t="s">
        <v>189</v>
      </c>
      <c r="F104">
        <v>2014</v>
      </c>
      <c r="H104">
        <v>507856</v>
      </c>
      <c r="I104">
        <v>305522</v>
      </c>
      <c r="J104">
        <v>17397</v>
      </c>
      <c r="K104">
        <v>11175</v>
      </c>
      <c r="L104">
        <v>10897</v>
      </c>
      <c r="M104">
        <v>7207</v>
      </c>
      <c r="N104">
        <v>6571</v>
      </c>
      <c r="O104">
        <v>5388</v>
      </c>
      <c r="P104">
        <v>3302</v>
      </c>
      <c r="Q104">
        <v>2535</v>
      </c>
      <c r="R104">
        <v>2118</v>
      </c>
      <c r="S104">
        <v>2064</v>
      </c>
      <c r="T104">
        <v>2007</v>
      </c>
      <c r="U104">
        <v>1770</v>
      </c>
      <c r="V104">
        <v>825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886634</v>
      </c>
    </row>
    <row r="105" spans="1:51" hidden="1" x14ac:dyDescent="0.2">
      <c r="A105" t="s">
        <v>6</v>
      </c>
      <c r="C105">
        <v>103</v>
      </c>
      <c r="D105">
        <v>15</v>
      </c>
      <c r="E105" t="s">
        <v>190</v>
      </c>
      <c r="F105">
        <v>2014</v>
      </c>
      <c r="H105">
        <v>518538</v>
      </c>
      <c r="I105">
        <v>379819</v>
      </c>
      <c r="J105">
        <v>12061</v>
      </c>
      <c r="K105">
        <v>9900</v>
      </c>
      <c r="L105">
        <v>7492</v>
      </c>
      <c r="M105">
        <v>6188</v>
      </c>
      <c r="N105">
        <v>5629</v>
      </c>
      <c r="O105">
        <v>2760</v>
      </c>
      <c r="P105">
        <v>2550</v>
      </c>
      <c r="Q105">
        <v>2539</v>
      </c>
      <c r="R105">
        <v>1978</v>
      </c>
      <c r="S105">
        <v>1843</v>
      </c>
      <c r="T105">
        <v>1840</v>
      </c>
      <c r="U105">
        <v>1752</v>
      </c>
      <c r="V105">
        <v>910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955799</v>
      </c>
    </row>
    <row r="106" spans="1:51" hidden="1" x14ac:dyDescent="0.2">
      <c r="A106" t="s">
        <v>6</v>
      </c>
      <c r="C106">
        <v>104</v>
      </c>
      <c r="D106">
        <v>15</v>
      </c>
      <c r="E106" t="s">
        <v>191</v>
      </c>
      <c r="F106">
        <v>2014</v>
      </c>
      <c r="H106">
        <v>580250</v>
      </c>
      <c r="I106">
        <v>371359</v>
      </c>
      <c r="J106">
        <v>11615</v>
      </c>
      <c r="K106">
        <v>9766</v>
      </c>
      <c r="L106">
        <v>6139</v>
      </c>
      <c r="M106">
        <v>5982</v>
      </c>
      <c r="N106">
        <v>4825</v>
      </c>
      <c r="O106">
        <v>3731</v>
      </c>
      <c r="P106">
        <v>2427</v>
      </c>
      <c r="Q106">
        <v>1804</v>
      </c>
      <c r="R106">
        <v>1653</v>
      </c>
      <c r="S106">
        <v>1340</v>
      </c>
      <c r="T106">
        <v>1251</v>
      </c>
      <c r="U106">
        <v>1084</v>
      </c>
      <c r="V106">
        <v>1032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1004258</v>
      </c>
    </row>
    <row r="107" spans="1:51" hidden="1" x14ac:dyDescent="0.2">
      <c r="A107" t="s">
        <v>6</v>
      </c>
      <c r="C107">
        <v>105</v>
      </c>
      <c r="D107">
        <v>11</v>
      </c>
      <c r="E107" t="s">
        <v>192</v>
      </c>
      <c r="F107">
        <v>2014</v>
      </c>
      <c r="H107">
        <v>552205</v>
      </c>
      <c r="I107">
        <v>467750</v>
      </c>
      <c r="J107">
        <v>22334</v>
      </c>
      <c r="K107">
        <v>16665</v>
      </c>
      <c r="L107">
        <v>9795</v>
      </c>
      <c r="M107">
        <v>9046</v>
      </c>
      <c r="N107">
        <v>6816</v>
      </c>
      <c r="O107">
        <v>3527</v>
      </c>
      <c r="P107">
        <v>2314</v>
      </c>
      <c r="Q107">
        <v>1876</v>
      </c>
      <c r="R107">
        <v>1674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1094002</v>
      </c>
    </row>
    <row r="108" spans="1:51" hidden="1" x14ac:dyDescent="0.2">
      <c r="A108" t="s">
        <v>6</v>
      </c>
      <c r="C108">
        <v>106</v>
      </c>
      <c r="D108">
        <v>19</v>
      </c>
      <c r="E108" t="s">
        <v>193</v>
      </c>
      <c r="F108">
        <v>2014</v>
      </c>
      <c r="H108">
        <v>773539</v>
      </c>
      <c r="I108">
        <v>290418</v>
      </c>
      <c r="J108">
        <v>19966</v>
      </c>
      <c r="K108">
        <v>12777</v>
      </c>
      <c r="L108">
        <v>9767</v>
      </c>
      <c r="M108">
        <v>6705</v>
      </c>
      <c r="N108">
        <v>6068</v>
      </c>
      <c r="O108">
        <v>3767</v>
      </c>
      <c r="P108">
        <v>3177</v>
      </c>
      <c r="Q108">
        <v>1639</v>
      </c>
      <c r="R108">
        <v>1474</v>
      </c>
      <c r="S108">
        <v>984</v>
      </c>
      <c r="T108">
        <v>924</v>
      </c>
      <c r="U108">
        <v>809</v>
      </c>
      <c r="V108">
        <v>793</v>
      </c>
      <c r="W108">
        <v>684</v>
      </c>
      <c r="X108">
        <v>683</v>
      </c>
      <c r="Y108">
        <v>668</v>
      </c>
      <c r="Z108">
        <v>653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1135495</v>
      </c>
    </row>
    <row r="109" spans="1:51" hidden="1" x14ac:dyDescent="0.2">
      <c r="A109" t="s">
        <v>6</v>
      </c>
      <c r="C109">
        <v>107</v>
      </c>
      <c r="D109">
        <v>15</v>
      </c>
      <c r="E109" t="s">
        <v>618</v>
      </c>
      <c r="F109">
        <v>2014</v>
      </c>
      <c r="H109">
        <v>633582</v>
      </c>
      <c r="I109">
        <v>306949</v>
      </c>
      <c r="J109">
        <v>14358</v>
      </c>
      <c r="K109">
        <v>11349</v>
      </c>
      <c r="L109">
        <v>6023</v>
      </c>
      <c r="M109">
        <v>4046</v>
      </c>
      <c r="N109">
        <v>2299</v>
      </c>
      <c r="O109">
        <v>1201</v>
      </c>
      <c r="P109">
        <v>1094</v>
      </c>
      <c r="Q109">
        <v>987</v>
      </c>
      <c r="R109">
        <v>895</v>
      </c>
      <c r="S109">
        <v>782</v>
      </c>
      <c r="T109">
        <v>704</v>
      </c>
      <c r="U109">
        <v>698</v>
      </c>
      <c r="V109">
        <v>558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985525</v>
      </c>
    </row>
    <row r="110" spans="1:51" hidden="1" x14ac:dyDescent="0.2">
      <c r="A110" t="s">
        <v>6</v>
      </c>
      <c r="C110">
        <v>108</v>
      </c>
      <c r="D110">
        <v>12</v>
      </c>
      <c r="E110" t="s">
        <v>194</v>
      </c>
      <c r="F110">
        <v>2014</v>
      </c>
      <c r="H110">
        <v>617104</v>
      </c>
      <c r="I110">
        <v>296793</v>
      </c>
      <c r="J110">
        <v>17332</v>
      </c>
      <c r="K110">
        <v>16571</v>
      </c>
      <c r="L110">
        <v>6205</v>
      </c>
      <c r="M110">
        <v>2837</v>
      </c>
      <c r="N110">
        <v>2564</v>
      </c>
      <c r="O110">
        <v>1391</v>
      </c>
      <c r="P110">
        <v>1256</v>
      </c>
      <c r="Q110">
        <v>941</v>
      </c>
      <c r="R110">
        <v>808</v>
      </c>
      <c r="S110">
        <v>807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964609</v>
      </c>
    </row>
    <row r="111" spans="1:51" hidden="1" x14ac:dyDescent="0.2">
      <c r="A111" t="s">
        <v>6</v>
      </c>
      <c r="C111">
        <v>109</v>
      </c>
      <c r="D111">
        <v>18</v>
      </c>
      <c r="E111" t="s">
        <v>195</v>
      </c>
      <c r="F111">
        <v>2014</v>
      </c>
      <c r="H111">
        <v>529003</v>
      </c>
      <c r="I111">
        <v>326096</v>
      </c>
      <c r="J111">
        <v>14515</v>
      </c>
      <c r="K111">
        <v>13375</v>
      </c>
      <c r="L111">
        <v>11216</v>
      </c>
      <c r="M111">
        <v>11029</v>
      </c>
      <c r="N111">
        <v>10753</v>
      </c>
      <c r="O111">
        <v>6439</v>
      </c>
      <c r="P111">
        <v>4818</v>
      </c>
      <c r="Q111">
        <v>3102</v>
      </c>
      <c r="R111">
        <v>2968</v>
      </c>
      <c r="S111">
        <v>2251</v>
      </c>
      <c r="T111">
        <v>2154</v>
      </c>
      <c r="U111">
        <v>1751</v>
      </c>
      <c r="V111">
        <v>1413</v>
      </c>
      <c r="W111">
        <v>1341</v>
      </c>
      <c r="X111">
        <v>1227</v>
      </c>
      <c r="Y111">
        <v>1226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944677</v>
      </c>
    </row>
    <row r="112" spans="1:51" hidden="1" x14ac:dyDescent="0.2">
      <c r="A112" t="s">
        <v>6</v>
      </c>
      <c r="C112">
        <v>110</v>
      </c>
      <c r="D112">
        <v>16</v>
      </c>
      <c r="E112" t="s">
        <v>196</v>
      </c>
      <c r="F112">
        <v>2014</v>
      </c>
      <c r="H112">
        <v>621524</v>
      </c>
      <c r="I112">
        <v>375096</v>
      </c>
      <c r="J112">
        <v>18249</v>
      </c>
      <c r="K112">
        <v>12653</v>
      </c>
      <c r="L112">
        <v>10785</v>
      </c>
      <c r="M112">
        <v>5752</v>
      </c>
      <c r="N112">
        <v>2076</v>
      </c>
      <c r="O112">
        <v>1636</v>
      </c>
      <c r="P112">
        <v>1562</v>
      </c>
      <c r="Q112">
        <v>1408</v>
      </c>
      <c r="R112">
        <v>1344</v>
      </c>
      <c r="S112">
        <v>1161</v>
      </c>
      <c r="T112">
        <v>1080</v>
      </c>
      <c r="U112">
        <v>990</v>
      </c>
      <c r="V112">
        <v>945</v>
      </c>
      <c r="W112">
        <v>808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1057069</v>
      </c>
    </row>
    <row r="113" spans="1:51" hidden="1" x14ac:dyDescent="0.2">
      <c r="A113" t="s">
        <v>6</v>
      </c>
      <c r="C113">
        <v>111</v>
      </c>
      <c r="D113">
        <v>15</v>
      </c>
      <c r="E113" t="s">
        <v>197</v>
      </c>
      <c r="F113">
        <v>2014</v>
      </c>
      <c r="H113">
        <v>508437</v>
      </c>
      <c r="I113">
        <v>240466</v>
      </c>
      <c r="J113">
        <v>16443</v>
      </c>
      <c r="K113">
        <v>12180</v>
      </c>
      <c r="L113">
        <v>7939</v>
      </c>
      <c r="M113">
        <v>4475</v>
      </c>
      <c r="N113">
        <v>3825</v>
      </c>
      <c r="O113">
        <v>3009</v>
      </c>
      <c r="P113">
        <v>2868</v>
      </c>
      <c r="Q113">
        <v>2205</v>
      </c>
      <c r="R113">
        <v>1704</v>
      </c>
      <c r="S113">
        <v>1671</v>
      </c>
      <c r="T113">
        <v>1618</v>
      </c>
      <c r="U113">
        <v>1569</v>
      </c>
      <c r="V113">
        <v>1024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809433</v>
      </c>
    </row>
    <row r="114" spans="1:51" hidden="1" x14ac:dyDescent="0.2">
      <c r="A114" t="s">
        <v>6</v>
      </c>
      <c r="C114">
        <v>112</v>
      </c>
      <c r="D114">
        <v>26</v>
      </c>
      <c r="E114" t="s">
        <v>198</v>
      </c>
      <c r="F114">
        <v>2014</v>
      </c>
      <c r="H114">
        <v>484412</v>
      </c>
      <c r="I114">
        <v>309123</v>
      </c>
      <c r="J114">
        <v>8596</v>
      </c>
      <c r="K114">
        <v>8234</v>
      </c>
      <c r="L114">
        <v>6588</v>
      </c>
      <c r="M114">
        <v>5811</v>
      </c>
      <c r="N114">
        <v>4911</v>
      </c>
      <c r="O114">
        <v>3946</v>
      </c>
      <c r="P114">
        <v>3667</v>
      </c>
      <c r="Q114">
        <v>1811</v>
      </c>
      <c r="R114">
        <v>1541</v>
      </c>
      <c r="S114">
        <v>1377</v>
      </c>
      <c r="T114">
        <v>1254</v>
      </c>
      <c r="U114">
        <v>1247</v>
      </c>
      <c r="V114">
        <v>1188</v>
      </c>
      <c r="W114">
        <v>1043</v>
      </c>
      <c r="X114">
        <v>940</v>
      </c>
      <c r="Y114">
        <v>885</v>
      </c>
      <c r="Z114">
        <v>876</v>
      </c>
      <c r="AA114">
        <v>819</v>
      </c>
      <c r="AB114">
        <v>795</v>
      </c>
      <c r="AC114">
        <v>777</v>
      </c>
      <c r="AD114">
        <v>760</v>
      </c>
      <c r="AE114">
        <v>744</v>
      </c>
      <c r="AF114">
        <v>706</v>
      </c>
      <c r="AG114">
        <v>592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852643</v>
      </c>
    </row>
    <row r="115" spans="1:51" hidden="1" x14ac:dyDescent="0.2">
      <c r="A115" t="s">
        <v>6</v>
      </c>
      <c r="C115">
        <v>113</v>
      </c>
      <c r="D115">
        <v>9</v>
      </c>
      <c r="E115" t="s">
        <v>199</v>
      </c>
      <c r="F115">
        <v>2014</v>
      </c>
      <c r="H115">
        <v>513179</v>
      </c>
      <c r="I115">
        <v>377347</v>
      </c>
      <c r="J115">
        <v>17022</v>
      </c>
      <c r="K115">
        <v>16674</v>
      </c>
      <c r="L115">
        <v>7574</v>
      </c>
      <c r="M115">
        <v>2717</v>
      </c>
      <c r="N115">
        <v>2565</v>
      </c>
      <c r="O115">
        <v>2409</v>
      </c>
      <c r="P115">
        <v>1891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941378</v>
      </c>
    </row>
    <row r="116" spans="1:51" hidden="1" x14ac:dyDescent="0.2">
      <c r="A116" t="s">
        <v>6</v>
      </c>
      <c r="C116">
        <v>114</v>
      </c>
      <c r="D116">
        <v>15</v>
      </c>
      <c r="E116" t="s">
        <v>200</v>
      </c>
      <c r="F116">
        <v>2014</v>
      </c>
      <c r="H116">
        <v>436715</v>
      </c>
      <c r="I116">
        <v>280483</v>
      </c>
      <c r="J116">
        <v>19143</v>
      </c>
      <c r="K116">
        <v>15520</v>
      </c>
      <c r="L116">
        <v>13803</v>
      </c>
      <c r="M116">
        <v>10114</v>
      </c>
      <c r="N116">
        <v>8167</v>
      </c>
      <c r="O116">
        <v>7822</v>
      </c>
      <c r="P116">
        <v>4032</v>
      </c>
      <c r="Q116">
        <v>3439</v>
      </c>
      <c r="R116">
        <v>2216</v>
      </c>
      <c r="S116">
        <v>2062</v>
      </c>
      <c r="T116">
        <v>1938</v>
      </c>
      <c r="U116">
        <v>1809</v>
      </c>
      <c r="V116">
        <v>1553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808816</v>
      </c>
    </row>
    <row r="117" spans="1:51" hidden="1" x14ac:dyDescent="0.2">
      <c r="A117" t="s">
        <v>6</v>
      </c>
      <c r="C117">
        <v>115</v>
      </c>
      <c r="D117">
        <v>17</v>
      </c>
      <c r="E117" t="s">
        <v>201</v>
      </c>
      <c r="F117">
        <v>2014</v>
      </c>
      <c r="H117">
        <v>549529</v>
      </c>
      <c r="I117">
        <v>254041</v>
      </c>
      <c r="J117">
        <v>49540</v>
      </c>
      <c r="K117">
        <v>9590</v>
      </c>
      <c r="L117">
        <v>9345</v>
      </c>
      <c r="M117">
        <v>9113</v>
      </c>
      <c r="N117">
        <v>7550</v>
      </c>
      <c r="O117">
        <v>5912</v>
      </c>
      <c r="P117">
        <v>5530</v>
      </c>
      <c r="Q117">
        <v>3542</v>
      </c>
      <c r="R117">
        <v>2707</v>
      </c>
      <c r="S117">
        <v>2276</v>
      </c>
      <c r="T117">
        <v>2257</v>
      </c>
      <c r="U117">
        <v>1852</v>
      </c>
      <c r="V117">
        <v>1734</v>
      </c>
      <c r="W117">
        <v>1525</v>
      </c>
      <c r="X117">
        <v>1359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917402</v>
      </c>
    </row>
    <row r="118" spans="1:51" hidden="1" x14ac:dyDescent="0.2">
      <c r="A118" t="s">
        <v>6</v>
      </c>
      <c r="C118">
        <v>116</v>
      </c>
      <c r="D118">
        <v>16</v>
      </c>
      <c r="E118" t="s">
        <v>202</v>
      </c>
      <c r="F118">
        <v>2014</v>
      </c>
      <c r="H118">
        <v>490829</v>
      </c>
      <c r="I118">
        <v>427403</v>
      </c>
      <c r="J118">
        <v>16872</v>
      </c>
      <c r="K118">
        <v>6689</v>
      </c>
      <c r="L118">
        <v>6480</v>
      </c>
      <c r="M118">
        <v>4022</v>
      </c>
      <c r="N118">
        <v>4003</v>
      </c>
      <c r="O118">
        <v>2975</v>
      </c>
      <c r="P118">
        <v>2442</v>
      </c>
      <c r="Q118">
        <v>1790</v>
      </c>
      <c r="R118">
        <v>1466</v>
      </c>
      <c r="S118">
        <v>1459</v>
      </c>
      <c r="T118">
        <v>1265</v>
      </c>
      <c r="U118">
        <v>1260</v>
      </c>
      <c r="V118">
        <v>1063</v>
      </c>
      <c r="W118">
        <v>876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970894</v>
      </c>
    </row>
    <row r="119" spans="1:51" hidden="1" x14ac:dyDescent="0.2">
      <c r="A119" t="s">
        <v>6</v>
      </c>
      <c r="C119">
        <v>117</v>
      </c>
      <c r="D119">
        <v>16</v>
      </c>
      <c r="E119" t="s">
        <v>203</v>
      </c>
      <c r="F119">
        <v>2014</v>
      </c>
      <c r="H119">
        <v>568235</v>
      </c>
      <c r="I119">
        <v>335334</v>
      </c>
      <c r="J119">
        <v>20333</v>
      </c>
      <c r="K119">
        <v>7442</v>
      </c>
      <c r="L119">
        <v>5791</v>
      </c>
      <c r="M119">
        <v>3742</v>
      </c>
      <c r="N119">
        <v>3495</v>
      </c>
      <c r="O119">
        <v>2720</v>
      </c>
      <c r="P119">
        <v>1860</v>
      </c>
      <c r="Q119">
        <v>1444</v>
      </c>
      <c r="R119">
        <v>1024</v>
      </c>
      <c r="S119">
        <v>955</v>
      </c>
      <c r="T119">
        <v>944</v>
      </c>
      <c r="U119">
        <v>938</v>
      </c>
      <c r="V119">
        <v>846</v>
      </c>
      <c r="W119">
        <v>803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955906</v>
      </c>
    </row>
    <row r="120" spans="1:51" hidden="1" x14ac:dyDescent="0.2">
      <c r="A120" t="s">
        <v>6</v>
      </c>
      <c r="C120">
        <v>118</v>
      </c>
      <c r="D120">
        <v>13</v>
      </c>
      <c r="E120" t="s">
        <v>204</v>
      </c>
      <c r="F120">
        <v>2014</v>
      </c>
      <c r="H120">
        <v>508274</v>
      </c>
      <c r="I120">
        <v>337678</v>
      </c>
      <c r="J120">
        <v>25981</v>
      </c>
      <c r="K120">
        <v>15956</v>
      </c>
      <c r="L120">
        <v>11375</v>
      </c>
      <c r="M120">
        <v>10857</v>
      </c>
      <c r="N120">
        <v>6935</v>
      </c>
      <c r="O120">
        <v>5426</v>
      </c>
      <c r="P120">
        <v>3751</v>
      </c>
      <c r="Q120">
        <v>2401</v>
      </c>
      <c r="R120">
        <v>1993</v>
      </c>
      <c r="S120">
        <v>1497</v>
      </c>
      <c r="T120">
        <v>1337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933461</v>
      </c>
    </row>
    <row r="121" spans="1:51" hidden="1" x14ac:dyDescent="0.2">
      <c r="A121" t="s">
        <v>6</v>
      </c>
      <c r="C121">
        <v>119</v>
      </c>
      <c r="D121">
        <v>11</v>
      </c>
      <c r="E121" t="s">
        <v>205</v>
      </c>
      <c r="F121">
        <v>2014</v>
      </c>
      <c r="H121">
        <v>511111</v>
      </c>
      <c r="I121">
        <v>280757</v>
      </c>
      <c r="J121">
        <v>32305</v>
      </c>
      <c r="K121">
        <v>28958</v>
      </c>
      <c r="L121">
        <v>11244</v>
      </c>
      <c r="M121">
        <v>11233</v>
      </c>
      <c r="N121">
        <v>6838</v>
      </c>
      <c r="O121">
        <v>5078</v>
      </c>
      <c r="P121">
        <v>4849</v>
      </c>
      <c r="Q121">
        <v>4167</v>
      </c>
      <c r="R121">
        <v>3841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900381</v>
      </c>
    </row>
    <row r="122" spans="1:51" hidden="1" x14ac:dyDescent="0.2">
      <c r="A122" t="s">
        <v>6</v>
      </c>
      <c r="C122">
        <v>120</v>
      </c>
      <c r="D122">
        <v>9</v>
      </c>
      <c r="E122" t="s">
        <v>206</v>
      </c>
      <c r="F122">
        <v>2014</v>
      </c>
      <c r="H122">
        <v>845464</v>
      </c>
      <c r="I122">
        <v>275336</v>
      </c>
      <c r="J122">
        <v>18053</v>
      </c>
      <c r="K122">
        <v>10101</v>
      </c>
      <c r="L122">
        <v>5782</v>
      </c>
      <c r="M122">
        <v>2249</v>
      </c>
      <c r="N122">
        <v>2101</v>
      </c>
      <c r="O122">
        <v>1382</v>
      </c>
      <c r="P122">
        <v>1109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1161577</v>
      </c>
    </row>
    <row r="123" spans="1:51" hidden="1" x14ac:dyDescent="0.2">
      <c r="A123" t="s">
        <v>6</v>
      </c>
      <c r="C123">
        <v>121</v>
      </c>
      <c r="D123">
        <v>5</v>
      </c>
      <c r="E123" t="s">
        <v>207</v>
      </c>
      <c r="F123">
        <v>2014</v>
      </c>
      <c r="H123">
        <v>607916</v>
      </c>
      <c r="I123">
        <v>428187</v>
      </c>
      <c r="J123">
        <v>28815</v>
      </c>
      <c r="K123">
        <v>23116</v>
      </c>
      <c r="L123">
        <v>12508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1100542</v>
      </c>
    </row>
    <row r="124" spans="1:51" hidden="1" x14ac:dyDescent="0.2">
      <c r="A124" t="s">
        <v>6</v>
      </c>
      <c r="C124">
        <v>122</v>
      </c>
      <c r="D124">
        <v>15</v>
      </c>
      <c r="E124" t="s">
        <v>208</v>
      </c>
      <c r="F124">
        <v>2014</v>
      </c>
      <c r="H124">
        <v>548902</v>
      </c>
      <c r="I124">
        <v>395629</v>
      </c>
      <c r="J124">
        <v>49289</v>
      </c>
      <c r="K124">
        <v>23615</v>
      </c>
      <c r="L124">
        <v>9862</v>
      </c>
      <c r="M124">
        <v>7275</v>
      </c>
      <c r="N124">
        <v>5125</v>
      </c>
      <c r="O124">
        <v>4818</v>
      </c>
      <c r="P124">
        <v>3353</v>
      </c>
      <c r="Q124">
        <v>2694</v>
      </c>
      <c r="R124">
        <v>2661</v>
      </c>
      <c r="S124">
        <v>2644</v>
      </c>
      <c r="T124">
        <v>1855</v>
      </c>
      <c r="U124">
        <v>1406</v>
      </c>
      <c r="V124">
        <v>1083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1060211</v>
      </c>
    </row>
    <row r="125" spans="1:51" hidden="1" x14ac:dyDescent="0.2">
      <c r="A125" t="s">
        <v>6</v>
      </c>
      <c r="C125">
        <v>123</v>
      </c>
      <c r="D125">
        <v>11</v>
      </c>
      <c r="E125" t="s">
        <v>209</v>
      </c>
      <c r="F125">
        <v>2014</v>
      </c>
      <c r="H125">
        <v>622769</v>
      </c>
      <c r="I125">
        <v>498885</v>
      </c>
      <c r="J125">
        <v>19991</v>
      </c>
      <c r="K125">
        <v>13270</v>
      </c>
      <c r="L125">
        <v>11625</v>
      </c>
      <c r="M125">
        <v>10842</v>
      </c>
      <c r="N125">
        <v>8607</v>
      </c>
      <c r="O125">
        <v>7321</v>
      </c>
      <c r="P125">
        <v>5351</v>
      </c>
      <c r="Q125">
        <v>5334</v>
      </c>
      <c r="R125">
        <v>2184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1206179</v>
      </c>
    </row>
    <row r="126" spans="1:51" hidden="1" x14ac:dyDescent="0.2">
      <c r="A126" t="s">
        <v>6</v>
      </c>
      <c r="C126">
        <v>124</v>
      </c>
      <c r="D126">
        <v>9</v>
      </c>
      <c r="E126" t="s">
        <v>210</v>
      </c>
      <c r="F126">
        <v>2014</v>
      </c>
      <c r="H126">
        <v>718412</v>
      </c>
      <c r="I126">
        <v>185222</v>
      </c>
      <c r="J126">
        <v>18877</v>
      </c>
      <c r="K126">
        <v>10936</v>
      </c>
      <c r="L126">
        <v>6346</v>
      </c>
      <c r="M126">
        <v>2695</v>
      </c>
      <c r="N126">
        <v>2640</v>
      </c>
      <c r="O126">
        <v>1607</v>
      </c>
      <c r="P126">
        <v>1187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947922</v>
      </c>
    </row>
    <row r="127" spans="1:51" hidden="1" x14ac:dyDescent="0.2">
      <c r="A127" t="s">
        <v>6</v>
      </c>
      <c r="C127">
        <v>125</v>
      </c>
      <c r="D127">
        <v>20</v>
      </c>
      <c r="E127" t="s">
        <v>211</v>
      </c>
      <c r="F127">
        <v>2014</v>
      </c>
      <c r="H127">
        <v>820831</v>
      </c>
      <c r="I127">
        <v>262715</v>
      </c>
      <c r="J127">
        <v>14299</v>
      </c>
      <c r="K127">
        <v>11240</v>
      </c>
      <c r="L127">
        <v>9322</v>
      </c>
      <c r="M127">
        <v>7560</v>
      </c>
      <c r="N127">
        <v>6069</v>
      </c>
      <c r="O127">
        <v>4267</v>
      </c>
      <c r="P127">
        <v>3853</v>
      </c>
      <c r="Q127">
        <v>3510</v>
      </c>
      <c r="R127">
        <v>2888</v>
      </c>
      <c r="S127">
        <v>2739</v>
      </c>
      <c r="T127">
        <v>2235</v>
      </c>
      <c r="U127">
        <v>2156</v>
      </c>
      <c r="V127">
        <v>1787</v>
      </c>
      <c r="W127">
        <v>1264</v>
      </c>
      <c r="X127">
        <v>1089</v>
      </c>
      <c r="Y127">
        <v>1059</v>
      </c>
      <c r="Z127">
        <v>1030</v>
      </c>
      <c r="AA127">
        <v>834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1160747</v>
      </c>
    </row>
    <row r="128" spans="1:51" hidden="1" x14ac:dyDescent="0.2">
      <c r="A128" t="s">
        <v>6</v>
      </c>
      <c r="C128">
        <v>126</v>
      </c>
      <c r="D128">
        <v>11</v>
      </c>
      <c r="E128" t="s">
        <v>212</v>
      </c>
      <c r="F128">
        <v>2014</v>
      </c>
      <c r="H128">
        <v>617772</v>
      </c>
      <c r="I128">
        <v>409768</v>
      </c>
      <c r="J128">
        <v>26606</v>
      </c>
      <c r="K128">
        <v>14202</v>
      </c>
      <c r="L128">
        <v>12757</v>
      </c>
      <c r="M128">
        <v>11372</v>
      </c>
      <c r="N128">
        <v>9702</v>
      </c>
      <c r="O128">
        <v>8047</v>
      </c>
      <c r="P128">
        <v>6028</v>
      </c>
      <c r="Q128">
        <v>2982</v>
      </c>
      <c r="R128">
        <v>2967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1122203</v>
      </c>
    </row>
    <row r="129" spans="1:51" hidden="1" x14ac:dyDescent="0.2">
      <c r="A129" t="s">
        <v>7</v>
      </c>
      <c r="C129">
        <v>127</v>
      </c>
      <c r="D129">
        <v>15</v>
      </c>
      <c r="E129" t="s">
        <v>213</v>
      </c>
      <c r="F129">
        <v>2014</v>
      </c>
      <c r="H129">
        <v>612121</v>
      </c>
      <c r="I129">
        <v>272047</v>
      </c>
      <c r="J129">
        <v>129571</v>
      </c>
      <c r="K129">
        <v>102627</v>
      </c>
      <c r="L129">
        <v>63626</v>
      </c>
      <c r="M129">
        <v>11123</v>
      </c>
      <c r="N129">
        <v>7816</v>
      </c>
      <c r="O129">
        <v>3765</v>
      </c>
      <c r="P129">
        <v>3432</v>
      </c>
      <c r="Q129">
        <v>3388</v>
      </c>
      <c r="R129">
        <v>3095</v>
      </c>
      <c r="S129">
        <v>2715</v>
      </c>
      <c r="T129">
        <v>1446</v>
      </c>
      <c r="U129">
        <v>1290</v>
      </c>
      <c r="V129">
        <v>933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1218995</v>
      </c>
    </row>
    <row r="130" spans="1:51" hidden="1" x14ac:dyDescent="0.2">
      <c r="A130" t="s">
        <v>7</v>
      </c>
      <c r="C130">
        <v>128</v>
      </c>
      <c r="D130">
        <v>23</v>
      </c>
      <c r="E130" t="s">
        <v>214</v>
      </c>
      <c r="F130">
        <v>2014</v>
      </c>
      <c r="H130">
        <v>418112</v>
      </c>
      <c r="I130">
        <v>288376</v>
      </c>
      <c r="J130">
        <v>287722</v>
      </c>
      <c r="K130">
        <v>68926</v>
      </c>
      <c r="L130">
        <v>32554</v>
      </c>
      <c r="M130">
        <v>6061</v>
      </c>
      <c r="N130">
        <v>3887</v>
      </c>
      <c r="O130">
        <v>3251</v>
      </c>
      <c r="P130">
        <v>2770</v>
      </c>
      <c r="Q130">
        <v>2765</v>
      </c>
      <c r="R130">
        <v>2482</v>
      </c>
      <c r="S130">
        <v>2344</v>
      </c>
      <c r="T130">
        <v>2083</v>
      </c>
      <c r="U130">
        <v>2041</v>
      </c>
      <c r="V130">
        <v>1994</v>
      </c>
      <c r="W130">
        <v>1665</v>
      </c>
      <c r="X130">
        <v>1635</v>
      </c>
      <c r="Y130">
        <v>1593</v>
      </c>
      <c r="Z130">
        <v>1534</v>
      </c>
      <c r="AA130">
        <v>1483</v>
      </c>
      <c r="AB130">
        <v>1092</v>
      </c>
      <c r="AC130">
        <v>762</v>
      </c>
      <c r="AD130">
        <v>760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1135892</v>
      </c>
    </row>
    <row r="131" spans="1:51" hidden="1" x14ac:dyDescent="0.2">
      <c r="A131" t="s">
        <v>7</v>
      </c>
      <c r="C131">
        <v>129</v>
      </c>
      <c r="D131">
        <v>19</v>
      </c>
      <c r="E131" t="s">
        <v>215</v>
      </c>
      <c r="F131">
        <v>2014</v>
      </c>
      <c r="H131">
        <v>506370</v>
      </c>
      <c r="I131">
        <v>390634</v>
      </c>
      <c r="J131">
        <v>241067</v>
      </c>
      <c r="K131">
        <v>66844</v>
      </c>
      <c r="L131">
        <v>20750</v>
      </c>
      <c r="M131">
        <v>11194</v>
      </c>
      <c r="N131">
        <v>7308</v>
      </c>
      <c r="O131">
        <v>5636</v>
      </c>
      <c r="P131">
        <v>4208</v>
      </c>
      <c r="Q131">
        <v>4136</v>
      </c>
      <c r="R131">
        <v>4033</v>
      </c>
      <c r="S131">
        <v>3432</v>
      </c>
      <c r="T131">
        <v>2901</v>
      </c>
      <c r="U131">
        <v>2350</v>
      </c>
      <c r="V131">
        <v>2201</v>
      </c>
      <c r="W131">
        <v>2145</v>
      </c>
      <c r="X131">
        <v>1365</v>
      </c>
      <c r="Y131">
        <v>1334</v>
      </c>
      <c r="Z131">
        <v>1197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1279105</v>
      </c>
    </row>
    <row r="132" spans="1:51" hidden="1" x14ac:dyDescent="0.2">
      <c r="A132" t="s">
        <v>7</v>
      </c>
      <c r="C132">
        <v>130</v>
      </c>
      <c r="D132">
        <v>35</v>
      </c>
      <c r="E132" t="s">
        <v>216</v>
      </c>
      <c r="F132">
        <v>2014</v>
      </c>
      <c r="H132">
        <v>494478</v>
      </c>
      <c r="I132">
        <v>462631</v>
      </c>
      <c r="J132">
        <v>102509</v>
      </c>
      <c r="K132">
        <v>30446</v>
      </c>
      <c r="L132">
        <v>28490</v>
      </c>
      <c r="M132">
        <v>6533</v>
      </c>
      <c r="N132">
        <v>5251</v>
      </c>
      <c r="O132">
        <v>2587</v>
      </c>
      <c r="P132">
        <v>1886</v>
      </c>
      <c r="Q132">
        <v>1788</v>
      </c>
      <c r="R132">
        <v>1723</v>
      </c>
      <c r="S132">
        <v>1645</v>
      </c>
      <c r="T132">
        <v>1471</v>
      </c>
      <c r="U132">
        <v>1242</v>
      </c>
      <c r="V132">
        <v>1195</v>
      </c>
      <c r="W132">
        <v>1143</v>
      </c>
      <c r="X132">
        <v>1048</v>
      </c>
      <c r="Y132">
        <v>959</v>
      </c>
      <c r="Z132">
        <v>705</v>
      </c>
      <c r="AA132">
        <v>700</v>
      </c>
      <c r="AB132">
        <v>684</v>
      </c>
      <c r="AC132">
        <v>600</v>
      </c>
      <c r="AD132">
        <v>587</v>
      </c>
      <c r="AE132">
        <v>463</v>
      </c>
      <c r="AF132">
        <v>447</v>
      </c>
      <c r="AG132">
        <v>408</v>
      </c>
      <c r="AH132">
        <v>395</v>
      </c>
      <c r="AI132">
        <v>388</v>
      </c>
      <c r="AJ132">
        <v>371</v>
      </c>
      <c r="AK132">
        <v>363</v>
      </c>
      <c r="AL132">
        <v>342</v>
      </c>
      <c r="AM132">
        <v>307</v>
      </c>
      <c r="AN132">
        <v>300</v>
      </c>
      <c r="AO132">
        <v>273</v>
      </c>
      <c r="AP132">
        <v>255</v>
      </c>
      <c r="AQ132">
        <v>245</v>
      </c>
      <c r="AR132">
        <v>213</v>
      </c>
      <c r="AS132">
        <v>208</v>
      </c>
      <c r="AT132">
        <v>197</v>
      </c>
      <c r="AU132">
        <v>176</v>
      </c>
      <c r="AV132">
        <v>134</v>
      </c>
      <c r="AW132">
        <v>128</v>
      </c>
      <c r="AX132">
        <v>0</v>
      </c>
      <c r="AY132">
        <v>1155914</v>
      </c>
    </row>
    <row r="133" spans="1:51" hidden="1" x14ac:dyDescent="0.2">
      <c r="A133" t="s">
        <v>7</v>
      </c>
      <c r="C133">
        <v>131</v>
      </c>
      <c r="D133">
        <v>24</v>
      </c>
      <c r="E133" t="s">
        <v>217</v>
      </c>
      <c r="F133">
        <v>2014</v>
      </c>
      <c r="H133">
        <v>594817</v>
      </c>
      <c r="I133">
        <v>234670</v>
      </c>
      <c r="J133">
        <v>187902</v>
      </c>
      <c r="K133">
        <v>102628</v>
      </c>
      <c r="L133">
        <v>32060</v>
      </c>
      <c r="M133">
        <v>10945</v>
      </c>
      <c r="N133">
        <v>3442</v>
      </c>
      <c r="O133">
        <v>2929</v>
      </c>
      <c r="P133">
        <v>2775</v>
      </c>
      <c r="Q133">
        <v>2723</v>
      </c>
      <c r="R133">
        <v>2654</v>
      </c>
      <c r="S133">
        <v>1937</v>
      </c>
      <c r="T133">
        <v>1757</v>
      </c>
      <c r="U133">
        <v>1544</v>
      </c>
      <c r="V133">
        <v>1468</v>
      </c>
      <c r="W133">
        <v>1314</v>
      </c>
      <c r="X133">
        <v>1276</v>
      </c>
      <c r="Y133">
        <v>1260</v>
      </c>
      <c r="Z133">
        <v>1144</v>
      </c>
      <c r="AA133">
        <v>940</v>
      </c>
      <c r="AB133">
        <v>885</v>
      </c>
      <c r="AC133">
        <v>865</v>
      </c>
      <c r="AD133">
        <v>806</v>
      </c>
      <c r="AE133">
        <v>759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1193500</v>
      </c>
    </row>
    <row r="134" spans="1:51" hidden="1" x14ac:dyDescent="0.2">
      <c r="A134" t="s">
        <v>7</v>
      </c>
      <c r="C134">
        <v>132</v>
      </c>
      <c r="D134">
        <v>24</v>
      </c>
      <c r="E134" t="s">
        <v>218</v>
      </c>
      <c r="F134">
        <v>2014</v>
      </c>
      <c r="H134">
        <v>347203</v>
      </c>
      <c r="I134">
        <v>269789</v>
      </c>
      <c r="J134">
        <v>264404</v>
      </c>
      <c r="K134">
        <v>48597</v>
      </c>
      <c r="L134">
        <v>24103</v>
      </c>
      <c r="M134">
        <v>5534</v>
      </c>
      <c r="N134">
        <v>4405</v>
      </c>
      <c r="O134">
        <v>3950</v>
      </c>
      <c r="P134">
        <v>2525</v>
      </c>
      <c r="Q134">
        <v>2417</v>
      </c>
      <c r="R134">
        <v>2403</v>
      </c>
      <c r="S134">
        <v>1757</v>
      </c>
      <c r="T134">
        <v>1375</v>
      </c>
      <c r="U134">
        <v>965</v>
      </c>
      <c r="V134">
        <v>943</v>
      </c>
      <c r="W134">
        <v>916</v>
      </c>
      <c r="X134">
        <v>899</v>
      </c>
      <c r="Y134">
        <v>671</v>
      </c>
      <c r="Z134">
        <v>656</v>
      </c>
      <c r="AA134">
        <v>550</v>
      </c>
      <c r="AB134">
        <v>492</v>
      </c>
      <c r="AC134">
        <v>468</v>
      </c>
      <c r="AD134">
        <v>357</v>
      </c>
      <c r="AE134">
        <v>259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985638</v>
      </c>
    </row>
    <row r="135" spans="1:51" hidden="1" x14ac:dyDescent="0.2">
      <c r="A135" t="s">
        <v>7</v>
      </c>
      <c r="C135">
        <v>133</v>
      </c>
      <c r="D135">
        <v>15</v>
      </c>
      <c r="E135" t="s">
        <v>219</v>
      </c>
      <c r="F135">
        <v>2014</v>
      </c>
      <c r="H135">
        <v>490063</v>
      </c>
      <c r="I135">
        <v>319436</v>
      </c>
      <c r="J135">
        <v>151120</v>
      </c>
      <c r="K135">
        <v>46759</v>
      </c>
      <c r="L135">
        <v>18690</v>
      </c>
      <c r="M135">
        <v>4932</v>
      </c>
      <c r="N135">
        <v>3151</v>
      </c>
      <c r="O135">
        <v>2497</v>
      </c>
      <c r="P135">
        <v>2449</v>
      </c>
      <c r="Q135">
        <v>2032</v>
      </c>
      <c r="R135">
        <v>947</v>
      </c>
      <c r="S135">
        <v>829</v>
      </c>
      <c r="T135">
        <v>614</v>
      </c>
      <c r="U135">
        <v>418</v>
      </c>
      <c r="V135">
        <v>394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1044331</v>
      </c>
    </row>
    <row r="136" spans="1:51" hidden="1" x14ac:dyDescent="0.2">
      <c r="A136" t="s">
        <v>7</v>
      </c>
      <c r="C136">
        <v>134</v>
      </c>
      <c r="D136">
        <v>27</v>
      </c>
      <c r="E136" t="s">
        <v>220</v>
      </c>
      <c r="F136">
        <v>2014</v>
      </c>
      <c r="H136">
        <v>404542</v>
      </c>
      <c r="I136">
        <v>275148</v>
      </c>
      <c r="J136">
        <v>268115</v>
      </c>
      <c r="K136">
        <v>27834</v>
      </c>
      <c r="L136">
        <v>22200</v>
      </c>
      <c r="M136">
        <v>6265</v>
      </c>
      <c r="N136">
        <v>3441</v>
      </c>
      <c r="O136">
        <v>3195</v>
      </c>
      <c r="P136">
        <v>3151</v>
      </c>
      <c r="Q136">
        <v>2357</v>
      </c>
      <c r="R136">
        <v>1994</v>
      </c>
      <c r="S136">
        <v>1617</v>
      </c>
      <c r="T136">
        <v>1493</v>
      </c>
      <c r="U136">
        <v>1334</v>
      </c>
      <c r="V136">
        <v>1060</v>
      </c>
      <c r="W136">
        <v>1020</v>
      </c>
      <c r="X136">
        <v>995</v>
      </c>
      <c r="Y136">
        <v>826</v>
      </c>
      <c r="Z136">
        <v>708</v>
      </c>
      <c r="AA136">
        <v>603</v>
      </c>
      <c r="AB136">
        <v>523</v>
      </c>
      <c r="AC136">
        <v>393</v>
      </c>
      <c r="AD136">
        <v>391</v>
      </c>
      <c r="AE136">
        <v>361</v>
      </c>
      <c r="AF136">
        <v>297</v>
      </c>
      <c r="AG136">
        <v>293</v>
      </c>
      <c r="AH136">
        <v>275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1030431</v>
      </c>
    </row>
    <row r="137" spans="1:51" hidden="1" x14ac:dyDescent="0.2">
      <c r="A137" t="s">
        <v>7</v>
      </c>
      <c r="C137">
        <v>135</v>
      </c>
      <c r="D137">
        <v>22</v>
      </c>
      <c r="E137" t="s">
        <v>221</v>
      </c>
      <c r="F137">
        <v>2014</v>
      </c>
      <c r="H137">
        <v>644780</v>
      </c>
      <c r="I137">
        <v>370058</v>
      </c>
      <c r="J137">
        <v>133713</v>
      </c>
      <c r="K137">
        <v>79456</v>
      </c>
      <c r="L137">
        <v>65009</v>
      </c>
      <c r="M137">
        <v>7821</v>
      </c>
      <c r="N137">
        <v>3147</v>
      </c>
      <c r="O137">
        <v>3043</v>
      </c>
      <c r="P137">
        <v>2658</v>
      </c>
      <c r="Q137">
        <v>1429</v>
      </c>
      <c r="R137">
        <v>1153</v>
      </c>
      <c r="S137">
        <v>1021</v>
      </c>
      <c r="T137">
        <v>938</v>
      </c>
      <c r="U137">
        <v>923</v>
      </c>
      <c r="V137">
        <v>804</v>
      </c>
      <c r="W137">
        <v>713</v>
      </c>
      <c r="X137">
        <v>699</v>
      </c>
      <c r="Y137">
        <v>685</v>
      </c>
      <c r="Z137">
        <v>566</v>
      </c>
      <c r="AA137">
        <v>0</v>
      </c>
      <c r="AB137">
        <v>494</v>
      </c>
      <c r="AC137">
        <v>489</v>
      </c>
      <c r="AD137">
        <v>455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1320054</v>
      </c>
    </row>
    <row r="138" spans="1:51" hidden="1" x14ac:dyDescent="0.2">
      <c r="A138" t="s">
        <v>7</v>
      </c>
      <c r="C138">
        <v>136</v>
      </c>
      <c r="D138">
        <v>28</v>
      </c>
      <c r="E138" t="s">
        <v>222</v>
      </c>
      <c r="F138">
        <v>2014</v>
      </c>
      <c r="H138">
        <v>652516</v>
      </c>
      <c r="I138">
        <v>185643</v>
      </c>
      <c r="J138">
        <v>132472</v>
      </c>
      <c r="K138">
        <v>67355</v>
      </c>
      <c r="L138">
        <v>66000</v>
      </c>
      <c r="M138">
        <v>3328</v>
      </c>
      <c r="N138">
        <v>2761</v>
      </c>
      <c r="O138">
        <v>2550</v>
      </c>
      <c r="P138">
        <v>1942</v>
      </c>
      <c r="Q138">
        <v>1940</v>
      </c>
      <c r="R138">
        <v>1735</v>
      </c>
      <c r="S138">
        <v>1689</v>
      </c>
      <c r="T138">
        <v>1104</v>
      </c>
      <c r="U138">
        <v>1084</v>
      </c>
      <c r="V138">
        <v>976</v>
      </c>
      <c r="W138">
        <v>967</v>
      </c>
      <c r="X138">
        <v>711</v>
      </c>
      <c r="Y138">
        <v>685</v>
      </c>
      <c r="Z138">
        <v>665</v>
      </c>
      <c r="AA138">
        <v>656</v>
      </c>
      <c r="AB138">
        <v>644</v>
      </c>
      <c r="AC138">
        <v>620</v>
      </c>
      <c r="AD138">
        <v>524</v>
      </c>
      <c r="AE138">
        <v>479</v>
      </c>
      <c r="AF138">
        <v>442</v>
      </c>
      <c r="AG138">
        <v>420</v>
      </c>
      <c r="AH138">
        <v>410</v>
      </c>
      <c r="AI138">
        <v>407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1130725</v>
      </c>
    </row>
    <row r="139" spans="1:51" hidden="1" x14ac:dyDescent="0.2">
      <c r="A139" t="s">
        <v>8</v>
      </c>
      <c r="C139">
        <v>137</v>
      </c>
      <c r="D139">
        <v>13</v>
      </c>
      <c r="E139" t="s">
        <v>223</v>
      </c>
      <c r="F139">
        <v>2014</v>
      </c>
      <c r="H139">
        <v>456163</v>
      </c>
      <c r="I139">
        <v>286091</v>
      </c>
      <c r="J139">
        <v>24430</v>
      </c>
      <c r="K139">
        <v>8704</v>
      </c>
      <c r="L139">
        <v>5949</v>
      </c>
      <c r="M139">
        <v>5585</v>
      </c>
      <c r="N139">
        <v>4106</v>
      </c>
      <c r="O139">
        <v>3757</v>
      </c>
      <c r="P139">
        <v>1133</v>
      </c>
      <c r="Q139">
        <v>1085</v>
      </c>
      <c r="R139">
        <v>997</v>
      </c>
      <c r="S139">
        <v>808</v>
      </c>
      <c r="T139">
        <v>637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799445</v>
      </c>
    </row>
    <row r="140" spans="1:51" hidden="1" x14ac:dyDescent="0.2">
      <c r="A140" t="s">
        <v>8</v>
      </c>
      <c r="C140">
        <v>138</v>
      </c>
      <c r="D140">
        <v>10</v>
      </c>
      <c r="E140" t="s">
        <v>224</v>
      </c>
      <c r="F140">
        <v>2014</v>
      </c>
      <c r="H140">
        <v>362824</v>
      </c>
      <c r="I140">
        <v>322968</v>
      </c>
      <c r="J140">
        <v>13965</v>
      </c>
      <c r="K140">
        <v>9359</v>
      </c>
      <c r="L140">
        <v>6191</v>
      </c>
      <c r="M140">
        <v>5167</v>
      </c>
      <c r="N140">
        <v>1928</v>
      </c>
      <c r="O140">
        <v>1868</v>
      </c>
      <c r="P140">
        <v>923</v>
      </c>
      <c r="Q140">
        <v>901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726094</v>
      </c>
    </row>
    <row r="141" spans="1:51" hidden="1" x14ac:dyDescent="0.2">
      <c r="A141" t="s">
        <v>8</v>
      </c>
      <c r="C141">
        <v>139</v>
      </c>
      <c r="D141">
        <v>11</v>
      </c>
      <c r="E141" t="s">
        <v>225</v>
      </c>
      <c r="F141">
        <v>2014</v>
      </c>
      <c r="H141">
        <v>448035</v>
      </c>
      <c r="I141">
        <v>349632</v>
      </c>
      <c r="J141">
        <v>15329</v>
      </c>
      <c r="K141">
        <v>6473</v>
      </c>
      <c r="L141">
        <v>5827</v>
      </c>
      <c r="M141">
        <v>3687</v>
      </c>
      <c r="N141">
        <v>2328</v>
      </c>
      <c r="O141">
        <v>1692</v>
      </c>
      <c r="P141">
        <v>952</v>
      </c>
      <c r="Q141">
        <v>647</v>
      </c>
      <c r="R141">
        <v>603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835205</v>
      </c>
    </row>
    <row r="142" spans="1:51" hidden="1" x14ac:dyDescent="0.2">
      <c r="A142" t="s">
        <v>8</v>
      </c>
      <c r="C142">
        <v>140</v>
      </c>
      <c r="D142">
        <v>8</v>
      </c>
      <c r="E142" t="s">
        <v>226</v>
      </c>
      <c r="F142">
        <v>2014</v>
      </c>
      <c r="H142">
        <v>385973</v>
      </c>
      <c r="I142">
        <v>301786</v>
      </c>
      <c r="J142">
        <v>14233</v>
      </c>
      <c r="K142">
        <v>11434</v>
      </c>
      <c r="L142">
        <v>7787</v>
      </c>
      <c r="M142">
        <v>6173</v>
      </c>
      <c r="N142">
        <v>5985</v>
      </c>
      <c r="O142">
        <v>4385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737756</v>
      </c>
    </row>
    <row r="143" spans="1:51" hidden="1" x14ac:dyDescent="0.2">
      <c r="A143" t="s">
        <v>9</v>
      </c>
      <c r="C143">
        <v>141</v>
      </c>
      <c r="D143">
        <v>16</v>
      </c>
      <c r="E143" t="s">
        <v>227</v>
      </c>
      <c r="F143">
        <v>2014</v>
      </c>
      <c r="H143">
        <v>175277</v>
      </c>
      <c r="I143">
        <v>146058</v>
      </c>
      <c r="J143">
        <v>71154</v>
      </c>
      <c r="K143">
        <v>22090</v>
      </c>
      <c r="L143">
        <v>7301</v>
      </c>
      <c r="M143">
        <v>6558</v>
      </c>
      <c r="N143">
        <v>5788</v>
      </c>
      <c r="O143">
        <v>5566</v>
      </c>
      <c r="P143">
        <v>4568</v>
      </c>
      <c r="Q143">
        <v>4141</v>
      </c>
      <c r="R143">
        <v>4006</v>
      </c>
      <c r="S143">
        <v>3655</v>
      </c>
      <c r="T143">
        <v>3143</v>
      </c>
      <c r="U143">
        <v>2694</v>
      </c>
      <c r="V143">
        <v>2050</v>
      </c>
      <c r="W143">
        <v>1943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465992</v>
      </c>
    </row>
    <row r="144" spans="1:51" hidden="1" x14ac:dyDescent="0.2">
      <c r="A144" t="s">
        <v>9</v>
      </c>
      <c r="C144">
        <v>142</v>
      </c>
      <c r="D144">
        <v>15</v>
      </c>
      <c r="E144" t="s">
        <v>228</v>
      </c>
      <c r="F144">
        <v>2014</v>
      </c>
      <c r="H144">
        <v>157923</v>
      </c>
      <c r="I144">
        <v>115643</v>
      </c>
      <c r="J144">
        <v>16050</v>
      </c>
      <c r="K144">
        <v>4979</v>
      </c>
      <c r="L144">
        <v>4467</v>
      </c>
      <c r="M144">
        <v>3271</v>
      </c>
      <c r="N144">
        <v>2802</v>
      </c>
      <c r="O144">
        <v>1668</v>
      </c>
      <c r="P144">
        <v>1215</v>
      </c>
      <c r="Q144">
        <v>1157</v>
      </c>
      <c r="R144">
        <v>864</v>
      </c>
      <c r="S144">
        <v>608</v>
      </c>
      <c r="T144">
        <v>583</v>
      </c>
      <c r="U144">
        <v>521</v>
      </c>
      <c r="V144">
        <v>461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312212</v>
      </c>
    </row>
    <row r="145" spans="1:51" hidden="1" x14ac:dyDescent="0.2">
      <c r="A145" t="s">
        <v>9</v>
      </c>
      <c r="C145">
        <v>143</v>
      </c>
      <c r="D145">
        <v>13</v>
      </c>
      <c r="E145" t="s">
        <v>229</v>
      </c>
      <c r="F145">
        <v>2014</v>
      </c>
      <c r="H145">
        <v>200429</v>
      </c>
      <c r="I145">
        <v>135012</v>
      </c>
      <c r="J145">
        <v>7340</v>
      </c>
      <c r="K145">
        <v>5936</v>
      </c>
      <c r="L145">
        <v>4720</v>
      </c>
      <c r="M145">
        <v>4345</v>
      </c>
      <c r="N145">
        <v>3439</v>
      </c>
      <c r="O145">
        <v>3312</v>
      </c>
      <c r="P145">
        <v>3286</v>
      </c>
      <c r="Q145">
        <v>3252</v>
      </c>
      <c r="R145">
        <v>1837</v>
      </c>
      <c r="S145">
        <v>1568</v>
      </c>
      <c r="T145">
        <v>803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375279</v>
      </c>
    </row>
    <row r="146" spans="1:51" hidden="1" x14ac:dyDescent="0.2">
      <c r="A146" t="s">
        <v>9</v>
      </c>
      <c r="C146">
        <v>144</v>
      </c>
      <c r="D146">
        <v>5</v>
      </c>
      <c r="E146" t="s">
        <v>230</v>
      </c>
      <c r="F146">
        <v>2014</v>
      </c>
      <c r="H146">
        <v>31111</v>
      </c>
      <c r="I146">
        <v>31075</v>
      </c>
      <c r="J146">
        <v>28234</v>
      </c>
      <c r="K146">
        <v>26402</v>
      </c>
      <c r="L146">
        <v>1207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118029</v>
      </c>
    </row>
    <row r="147" spans="1:51" hidden="1" x14ac:dyDescent="0.2">
      <c r="A147" t="s">
        <v>9</v>
      </c>
      <c r="C147">
        <v>145</v>
      </c>
      <c r="D147">
        <v>14</v>
      </c>
      <c r="E147" t="s">
        <v>231</v>
      </c>
      <c r="F147">
        <v>2014</v>
      </c>
      <c r="H147">
        <v>487369</v>
      </c>
      <c r="I147">
        <v>426393</v>
      </c>
      <c r="J147">
        <v>30461</v>
      </c>
      <c r="K147">
        <v>25312</v>
      </c>
      <c r="L147">
        <v>16437</v>
      </c>
      <c r="M147">
        <v>15188</v>
      </c>
      <c r="N147">
        <v>10478</v>
      </c>
      <c r="O147">
        <v>9217</v>
      </c>
      <c r="P147">
        <v>7339</v>
      </c>
      <c r="Q147">
        <v>5755</v>
      </c>
      <c r="R147">
        <v>2187</v>
      </c>
      <c r="S147">
        <v>1971</v>
      </c>
      <c r="T147">
        <v>1842</v>
      </c>
      <c r="U147">
        <v>1809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1041758</v>
      </c>
    </row>
    <row r="148" spans="1:51" hidden="1" x14ac:dyDescent="0.2">
      <c r="A148" t="s">
        <v>9</v>
      </c>
      <c r="C148">
        <v>146</v>
      </c>
      <c r="D148">
        <v>20</v>
      </c>
      <c r="E148" t="s">
        <v>232</v>
      </c>
      <c r="F148">
        <v>2014</v>
      </c>
      <c r="H148">
        <v>619995</v>
      </c>
      <c r="I148">
        <v>362715</v>
      </c>
      <c r="J148">
        <v>168554</v>
      </c>
      <c r="K148">
        <v>31199</v>
      </c>
      <c r="L148">
        <v>9071</v>
      </c>
      <c r="M148">
        <v>7423</v>
      </c>
      <c r="N148">
        <v>7173</v>
      </c>
      <c r="O148">
        <v>6042</v>
      </c>
      <c r="P148">
        <v>5286</v>
      </c>
      <c r="Q148">
        <v>5125</v>
      </c>
      <c r="R148">
        <v>5046</v>
      </c>
      <c r="S148">
        <v>4382</v>
      </c>
      <c r="T148">
        <v>4177</v>
      </c>
      <c r="U148">
        <v>3164</v>
      </c>
      <c r="V148">
        <v>2991</v>
      </c>
      <c r="W148">
        <v>2582</v>
      </c>
      <c r="X148">
        <v>2469</v>
      </c>
      <c r="Y148">
        <v>2205</v>
      </c>
      <c r="Z148">
        <v>2013</v>
      </c>
      <c r="AA148">
        <v>1981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1253593</v>
      </c>
    </row>
    <row r="149" spans="1:51" hidden="1" x14ac:dyDescent="0.2">
      <c r="A149" t="s">
        <v>10</v>
      </c>
      <c r="C149">
        <v>147</v>
      </c>
      <c r="D149">
        <v>13</v>
      </c>
      <c r="E149" t="s">
        <v>233</v>
      </c>
      <c r="F149">
        <v>2014</v>
      </c>
      <c r="H149">
        <v>474373</v>
      </c>
      <c r="I149">
        <v>471370</v>
      </c>
      <c r="J149">
        <v>42738</v>
      </c>
      <c r="K149">
        <v>39992</v>
      </c>
      <c r="L149">
        <v>14493</v>
      </c>
      <c r="M149">
        <v>10289</v>
      </c>
      <c r="N149">
        <v>3622</v>
      </c>
      <c r="O149">
        <v>3529</v>
      </c>
      <c r="P149">
        <v>3458</v>
      </c>
      <c r="Q149">
        <v>2624</v>
      </c>
      <c r="R149">
        <v>1744</v>
      </c>
      <c r="S149">
        <v>1457</v>
      </c>
      <c r="T149">
        <v>1414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1071103</v>
      </c>
    </row>
    <row r="150" spans="1:51" hidden="1" x14ac:dyDescent="0.2">
      <c r="A150" t="s">
        <v>10</v>
      </c>
      <c r="C150">
        <v>148</v>
      </c>
      <c r="D150">
        <v>16</v>
      </c>
      <c r="E150" t="s">
        <v>234</v>
      </c>
      <c r="F150">
        <v>2014</v>
      </c>
      <c r="H150">
        <v>554417</v>
      </c>
      <c r="I150">
        <v>478557</v>
      </c>
      <c r="J150">
        <v>11509</v>
      </c>
      <c r="K150">
        <v>8524</v>
      </c>
      <c r="L150">
        <v>5477</v>
      </c>
      <c r="M150">
        <v>3535</v>
      </c>
      <c r="N150">
        <v>3468</v>
      </c>
      <c r="O150">
        <v>3246</v>
      </c>
      <c r="P150">
        <v>1757</v>
      </c>
      <c r="Q150">
        <v>1656</v>
      </c>
      <c r="R150">
        <v>1458</v>
      </c>
      <c r="S150">
        <v>1261</v>
      </c>
      <c r="T150">
        <v>1187</v>
      </c>
      <c r="U150">
        <v>920</v>
      </c>
      <c r="V150">
        <v>781</v>
      </c>
      <c r="W150">
        <v>775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1078528</v>
      </c>
    </row>
    <row r="151" spans="1:51" hidden="1" x14ac:dyDescent="0.2">
      <c r="A151" t="s">
        <v>10</v>
      </c>
      <c r="C151">
        <v>149</v>
      </c>
      <c r="D151">
        <v>14</v>
      </c>
      <c r="E151" t="s">
        <v>235</v>
      </c>
      <c r="F151">
        <v>2014</v>
      </c>
      <c r="H151">
        <v>571548</v>
      </c>
      <c r="I151">
        <v>454988</v>
      </c>
      <c r="J151">
        <v>10959</v>
      </c>
      <c r="K151">
        <v>10764</v>
      </c>
      <c r="L151">
        <v>7370</v>
      </c>
      <c r="M151">
        <v>7237</v>
      </c>
      <c r="N151">
        <v>4325</v>
      </c>
      <c r="O151">
        <v>3897</v>
      </c>
      <c r="P151">
        <v>2037</v>
      </c>
      <c r="Q151">
        <v>2004</v>
      </c>
      <c r="R151">
        <v>1194</v>
      </c>
      <c r="S151">
        <v>1180</v>
      </c>
      <c r="T151">
        <v>994</v>
      </c>
      <c r="U151">
        <v>813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1079310</v>
      </c>
    </row>
    <row r="152" spans="1:51" hidden="1" x14ac:dyDescent="0.2">
      <c r="A152" t="s">
        <v>10</v>
      </c>
      <c r="C152">
        <v>150</v>
      </c>
      <c r="D152">
        <v>15</v>
      </c>
      <c r="E152" t="s">
        <v>236</v>
      </c>
      <c r="F152">
        <v>2014</v>
      </c>
      <c r="H152">
        <v>471757</v>
      </c>
      <c r="I152">
        <v>401938</v>
      </c>
      <c r="J152">
        <v>57551</v>
      </c>
      <c r="K152">
        <v>8287</v>
      </c>
      <c r="L152">
        <v>4717</v>
      </c>
      <c r="M152">
        <v>3795</v>
      </c>
      <c r="N152">
        <v>2818</v>
      </c>
      <c r="O152">
        <v>2775</v>
      </c>
      <c r="P152">
        <v>2691</v>
      </c>
      <c r="Q152">
        <v>2259</v>
      </c>
      <c r="R152">
        <v>2194</v>
      </c>
      <c r="S152">
        <v>1930</v>
      </c>
      <c r="T152">
        <v>1422</v>
      </c>
      <c r="U152">
        <v>1340</v>
      </c>
      <c r="V152">
        <v>1283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966757</v>
      </c>
    </row>
    <row r="153" spans="1:51" hidden="1" x14ac:dyDescent="0.2">
      <c r="A153" t="s">
        <v>10</v>
      </c>
      <c r="C153">
        <v>151</v>
      </c>
      <c r="D153">
        <v>9</v>
      </c>
      <c r="E153" t="s">
        <v>237</v>
      </c>
      <c r="F153">
        <v>2014</v>
      </c>
      <c r="H153">
        <v>507193</v>
      </c>
      <c r="I153">
        <v>432460</v>
      </c>
      <c r="J153">
        <v>15690</v>
      </c>
      <c r="K153">
        <v>11428</v>
      </c>
      <c r="L153">
        <v>9888</v>
      </c>
      <c r="M153">
        <v>9074</v>
      </c>
      <c r="N153">
        <v>4943</v>
      </c>
      <c r="O153">
        <v>4085</v>
      </c>
      <c r="P153">
        <v>2877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997638</v>
      </c>
    </row>
    <row r="154" spans="1:51" hidden="1" x14ac:dyDescent="0.2">
      <c r="A154" t="s">
        <v>10</v>
      </c>
      <c r="C154">
        <v>152</v>
      </c>
      <c r="D154">
        <v>12</v>
      </c>
      <c r="E154" t="s">
        <v>238</v>
      </c>
      <c r="F154">
        <v>2014</v>
      </c>
      <c r="H154">
        <v>443659</v>
      </c>
      <c r="I154">
        <v>442160</v>
      </c>
      <c r="J154">
        <v>21706</v>
      </c>
      <c r="K154">
        <v>13176</v>
      </c>
      <c r="L154">
        <v>12254</v>
      </c>
      <c r="M154">
        <v>6938</v>
      </c>
      <c r="N154">
        <v>6788</v>
      </c>
      <c r="O154">
        <v>6540</v>
      </c>
      <c r="P154">
        <v>4935</v>
      </c>
      <c r="Q154">
        <v>4234</v>
      </c>
      <c r="R154">
        <v>3618</v>
      </c>
      <c r="S154">
        <v>2881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968889</v>
      </c>
    </row>
    <row r="155" spans="1:51" hidden="1" x14ac:dyDescent="0.2">
      <c r="A155" t="s">
        <v>10</v>
      </c>
      <c r="C155">
        <v>153</v>
      </c>
      <c r="D155">
        <v>25</v>
      </c>
      <c r="E155" t="s">
        <v>239</v>
      </c>
      <c r="F155">
        <v>2014</v>
      </c>
      <c r="H155">
        <v>459290</v>
      </c>
      <c r="I155">
        <v>367068</v>
      </c>
      <c r="J155">
        <v>58728</v>
      </c>
      <c r="K155">
        <v>15079</v>
      </c>
      <c r="L155">
        <v>7118</v>
      </c>
      <c r="M155">
        <v>5818</v>
      </c>
      <c r="N155">
        <v>5097</v>
      </c>
      <c r="O155">
        <v>4540</v>
      </c>
      <c r="P155">
        <v>4379</v>
      </c>
      <c r="Q155">
        <v>3747</v>
      </c>
      <c r="R155">
        <v>2869</v>
      </c>
      <c r="S155">
        <v>2862</v>
      </c>
      <c r="T155">
        <v>2817</v>
      </c>
      <c r="U155">
        <v>2307</v>
      </c>
      <c r="V155">
        <v>2204</v>
      </c>
      <c r="W155">
        <v>2095</v>
      </c>
      <c r="X155">
        <v>1976</v>
      </c>
      <c r="Y155">
        <v>1742</v>
      </c>
      <c r="Z155">
        <v>1462</v>
      </c>
      <c r="AA155">
        <v>1427</v>
      </c>
      <c r="AB155">
        <v>1414</v>
      </c>
      <c r="AC155">
        <v>1406</v>
      </c>
      <c r="AD155">
        <v>1378</v>
      </c>
      <c r="AE155">
        <v>1302</v>
      </c>
      <c r="AF155">
        <v>1259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959384</v>
      </c>
    </row>
    <row r="156" spans="1:51" hidden="1" x14ac:dyDescent="0.2">
      <c r="A156" t="s">
        <v>10</v>
      </c>
      <c r="C156">
        <v>154</v>
      </c>
      <c r="D156">
        <v>17</v>
      </c>
      <c r="E156" t="s">
        <v>240</v>
      </c>
      <c r="F156">
        <v>2014</v>
      </c>
      <c r="H156">
        <v>486383</v>
      </c>
      <c r="I156">
        <v>453969</v>
      </c>
      <c r="J156">
        <v>12947</v>
      </c>
      <c r="K156">
        <v>9529</v>
      </c>
      <c r="L156">
        <v>8292</v>
      </c>
      <c r="M156">
        <v>6300</v>
      </c>
      <c r="N156">
        <v>4433</v>
      </c>
      <c r="O156">
        <v>3425</v>
      </c>
      <c r="P156">
        <v>2894</v>
      </c>
      <c r="Q156">
        <v>2839</v>
      </c>
      <c r="R156">
        <v>2636</v>
      </c>
      <c r="S156">
        <v>2459</v>
      </c>
      <c r="T156">
        <v>2305</v>
      </c>
      <c r="U156">
        <v>2129</v>
      </c>
      <c r="V156">
        <v>2089</v>
      </c>
      <c r="W156">
        <v>2012</v>
      </c>
      <c r="X156">
        <v>1867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1006508</v>
      </c>
    </row>
    <row r="157" spans="1:51" hidden="1" x14ac:dyDescent="0.2">
      <c r="A157" t="s">
        <v>10</v>
      </c>
      <c r="C157">
        <v>155</v>
      </c>
      <c r="D157">
        <v>12</v>
      </c>
      <c r="E157" t="s">
        <v>241</v>
      </c>
      <c r="F157">
        <v>2014</v>
      </c>
      <c r="H157">
        <v>534406</v>
      </c>
      <c r="I157">
        <v>449262</v>
      </c>
      <c r="J157">
        <v>12613</v>
      </c>
      <c r="K157">
        <v>11320</v>
      </c>
      <c r="L157">
        <v>8486</v>
      </c>
      <c r="M157">
        <v>6038</v>
      </c>
      <c r="N157">
        <v>5206</v>
      </c>
      <c r="O157">
        <v>3888</v>
      </c>
      <c r="P157">
        <v>3501</v>
      </c>
      <c r="Q157">
        <v>2456</v>
      </c>
      <c r="R157">
        <v>2042</v>
      </c>
      <c r="S157">
        <v>1997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1041215</v>
      </c>
    </row>
    <row r="158" spans="1:51" hidden="1" x14ac:dyDescent="0.2">
      <c r="A158" t="s">
        <v>10</v>
      </c>
      <c r="C158">
        <v>156</v>
      </c>
      <c r="D158">
        <v>20</v>
      </c>
      <c r="E158" t="s">
        <v>242</v>
      </c>
      <c r="F158">
        <v>2014</v>
      </c>
      <c r="H158">
        <v>566790</v>
      </c>
      <c r="I158">
        <v>479219</v>
      </c>
      <c r="J158">
        <v>15656</v>
      </c>
      <c r="K158">
        <v>9814</v>
      </c>
      <c r="L158">
        <v>7320</v>
      </c>
      <c r="M158">
        <v>6229</v>
      </c>
      <c r="N158">
        <v>5997</v>
      </c>
      <c r="O158">
        <v>3806</v>
      </c>
      <c r="P158">
        <v>3780</v>
      </c>
      <c r="Q158">
        <v>3528</v>
      </c>
      <c r="R158">
        <v>2329</v>
      </c>
      <c r="S158">
        <v>2296</v>
      </c>
      <c r="T158">
        <v>1602</v>
      </c>
      <c r="U158">
        <v>1490</v>
      </c>
      <c r="V158">
        <v>1314</v>
      </c>
      <c r="W158">
        <v>1224</v>
      </c>
      <c r="X158">
        <v>974</v>
      </c>
      <c r="Y158">
        <v>946</v>
      </c>
      <c r="Z158">
        <v>883</v>
      </c>
      <c r="AA158">
        <v>771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1115968</v>
      </c>
    </row>
    <row r="159" spans="1:51" hidden="1" x14ac:dyDescent="0.2">
      <c r="A159" t="s">
        <v>10</v>
      </c>
      <c r="C159">
        <v>157</v>
      </c>
      <c r="D159">
        <v>18</v>
      </c>
      <c r="E159" t="s">
        <v>243</v>
      </c>
      <c r="F159">
        <v>2014</v>
      </c>
      <c r="H159">
        <v>545395</v>
      </c>
      <c r="I159">
        <v>431738</v>
      </c>
      <c r="J159">
        <v>12937</v>
      </c>
      <c r="K159">
        <v>8836</v>
      </c>
      <c r="L159">
        <v>6858</v>
      </c>
      <c r="M159">
        <v>6196</v>
      </c>
      <c r="N159">
        <v>5465</v>
      </c>
      <c r="O159">
        <v>4349</v>
      </c>
      <c r="P159">
        <v>4128</v>
      </c>
      <c r="Q159">
        <v>3018</v>
      </c>
      <c r="R159">
        <v>2359</v>
      </c>
      <c r="S159">
        <v>2174</v>
      </c>
      <c r="T159">
        <v>1785</v>
      </c>
      <c r="U159">
        <v>1587</v>
      </c>
      <c r="V159">
        <v>1368</v>
      </c>
      <c r="W159">
        <v>1053</v>
      </c>
      <c r="X159">
        <v>995</v>
      </c>
      <c r="Y159">
        <v>985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1041226</v>
      </c>
    </row>
    <row r="160" spans="1:51" hidden="1" x14ac:dyDescent="0.2">
      <c r="A160" t="s">
        <v>10</v>
      </c>
      <c r="C160">
        <v>158</v>
      </c>
      <c r="D160">
        <v>10</v>
      </c>
      <c r="E160" t="s">
        <v>244</v>
      </c>
      <c r="F160">
        <v>2014</v>
      </c>
      <c r="H160">
        <v>546939</v>
      </c>
      <c r="I160">
        <v>406239</v>
      </c>
      <c r="J160">
        <v>16277</v>
      </c>
      <c r="K160">
        <v>7404</v>
      </c>
      <c r="L160">
        <v>6281</v>
      </c>
      <c r="M160">
        <v>6215</v>
      </c>
      <c r="N160">
        <v>4246</v>
      </c>
      <c r="O160">
        <v>3565</v>
      </c>
      <c r="P160">
        <v>2032</v>
      </c>
      <c r="Q160">
        <v>1840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1001038</v>
      </c>
    </row>
    <row r="161" spans="1:51" hidden="1" x14ac:dyDescent="0.2">
      <c r="A161" t="s">
        <v>10</v>
      </c>
      <c r="C161">
        <v>159</v>
      </c>
      <c r="D161">
        <v>19</v>
      </c>
      <c r="E161" t="s">
        <v>245</v>
      </c>
      <c r="F161">
        <v>2014</v>
      </c>
      <c r="H161">
        <v>518894</v>
      </c>
      <c r="I161">
        <v>501287</v>
      </c>
      <c r="J161">
        <v>46911</v>
      </c>
      <c r="K161">
        <v>8064</v>
      </c>
      <c r="L161">
        <v>7097</v>
      </c>
      <c r="M161">
        <v>5581</v>
      </c>
      <c r="N161">
        <v>4536</v>
      </c>
      <c r="O161">
        <v>3972</v>
      </c>
      <c r="P161">
        <v>3312</v>
      </c>
      <c r="Q161">
        <v>2732</v>
      </c>
      <c r="R161">
        <v>2582</v>
      </c>
      <c r="S161">
        <v>1582</v>
      </c>
      <c r="T161">
        <v>1332</v>
      </c>
      <c r="U161">
        <v>1331</v>
      </c>
      <c r="V161">
        <v>1226</v>
      </c>
      <c r="W161">
        <v>1216</v>
      </c>
      <c r="X161">
        <v>1145</v>
      </c>
      <c r="Y161">
        <v>1122</v>
      </c>
      <c r="Z161">
        <v>946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1114868</v>
      </c>
    </row>
    <row r="162" spans="1:51" hidden="1" x14ac:dyDescent="0.2">
      <c r="A162" t="s">
        <v>10</v>
      </c>
      <c r="C162">
        <v>160</v>
      </c>
      <c r="D162">
        <v>14</v>
      </c>
      <c r="E162" t="s">
        <v>246</v>
      </c>
      <c r="F162">
        <v>2014</v>
      </c>
      <c r="H162">
        <v>606216</v>
      </c>
      <c r="I162">
        <v>242911</v>
      </c>
      <c r="J162">
        <v>240636</v>
      </c>
      <c r="K162">
        <v>7542</v>
      </c>
      <c r="L162">
        <v>7077</v>
      </c>
      <c r="M162">
        <v>5053</v>
      </c>
      <c r="N162">
        <v>4537</v>
      </c>
      <c r="O162">
        <v>3869</v>
      </c>
      <c r="P162">
        <v>2709</v>
      </c>
      <c r="Q162">
        <v>2234</v>
      </c>
      <c r="R162">
        <v>2073</v>
      </c>
      <c r="S162">
        <v>1517</v>
      </c>
      <c r="T162">
        <v>1339</v>
      </c>
      <c r="U162">
        <v>1295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1129008</v>
      </c>
    </row>
    <row r="163" spans="1:51" hidden="1" x14ac:dyDescent="0.2">
      <c r="A163" t="s">
        <v>10</v>
      </c>
      <c r="C163">
        <v>161</v>
      </c>
      <c r="D163">
        <v>12</v>
      </c>
      <c r="E163" t="s">
        <v>247</v>
      </c>
      <c r="F163">
        <v>2014</v>
      </c>
      <c r="H163">
        <v>581168</v>
      </c>
      <c r="I163">
        <v>399525</v>
      </c>
      <c r="J163">
        <v>14895</v>
      </c>
      <c r="K163">
        <v>9691</v>
      </c>
      <c r="L163">
        <v>7828</v>
      </c>
      <c r="M163">
        <v>7449</v>
      </c>
      <c r="N163">
        <v>6049</v>
      </c>
      <c r="O163">
        <v>1899</v>
      </c>
      <c r="P163">
        <v>1689</v>
      </c>
      <c r="Q163">
        <v>1612</v>
      </c>
      <c r="R163">
        <v>1214</v>
      </c>
      <c r="S163">
        <v>1089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1034108</v>
      </c>
    </row>
    <row r="164" spans="1:51" hidden="1" x14ac:dyDescent="0.2">
      <c r="A164" t="s">
        <v>10</v>
      </c>
      <c r="C164">
        <v>162</v>
      </c>
      <c r="D164">
        <v>15</v>
      </c>
      <c r="E164" t="s">
        <v>248</v>
      </c>
      <c r="F164">
        <v>2014</v>
      </c>
      <c r="H164">
        <v>509841</v>
      </c>
      <c r="I164">
        <v>409379</v>
      </c>
      <c r="J164">
        <v>165688</v>
      </c>
      <c r="K164">
        <v>18905</v>
      </c>
      <c r="L164">
        <v>8018</v>
      </c>
      <c r="M164">
        <v>7334</v>
      </c>
      <c r="N164">
        <v>6798</v>
      </c>
      <c r="O164">
        <v>3841</v>
      </c>
      <c r="P164">
        <v>3536</v>
      </c>
      <c r="Q164">
        <v>3262</v>
      </c>
      <c r="R164">
        <v>3062</v>
      </c>
      <c r="S164">
        <v>2388</v>
      </c>
      <c r="T164">
        <v>2083</v>
      </c>
      <c r="U164">
        <v>1581</v>
      </c>
      <c r="V164">
        <v>1456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1147172</v>
      </c>
    </row>
    <row r="165" spans="1:51" hidden="1" x14ac:dyDescent="0.2">
      <c r="A165" t="s">
        <v>10</v>
      </c>
      <c r="C165">
        <v>163</v>
      </c>
      <c r="D165">
        <v>15</v>
      </c>
      <c r="E165" t="s">
        <v>249</v>
      </c>
      <c r="F165">
        <v>2014</v>
      </c>
      <c r="H165">
        <v>642739</v>
      </c>
      <c r="I165">
        <v>499030</v>
      </c>
      <c r="J165">
        <v>27254</v>
      </c>
      <c r="K165">
        <v>9394</v>
      </c>
      <c r="L165">
        <v>7109</v>
      </c>
      <c r="M165">
        <v>5442</v>
      </c>
      <c r="N165">
        <v>4471</v>
      </c>
      <c r="O165">
        <v>3421</v>
      </c>
      <c r="P165">
        <v>2450</v>
      </c>
      <c r="Q165">
        <v>1613</v>
      </c>
      <c r="R165">
        <v>1116</v>
      </c>
      <c r="S165">
        <v>1072</v>
      </c>
      <c r="T165">
        <v>905</v>
      </c>
      <c r="U165">
        <v>801</v>
      </c>
      <c r="V165">
        <v>657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1207474</v>
      </c>
    </row>
    <row r="166" spans="1:51" hidden="1" x14ac:dyDescent="0.2">
      <c r="A166" t="s">
        <v>10</v>
      </c>
      <c r="C166">
        <v>164</v>
      </c>
      <c r="D166">
        <v>15</v>
      </c>
      <c r="E166" t="s">
        <v>250</v>
      </c>
      <c r="F166">
        <v>2014</v>
      </c>
      <c r="H166">
        <v>467511</v>
      </c>
      <c r="I166">
        <v>366220</v>
      </c>
      <c r="J166">
        <v>202108</v>
      </c>
      <c r="K166">
        <v>14226</v>
      </c>
      <c r="L166">
        <v>9441</v>
      </c>
      <c r="M166">
        <v>8895</v>
      </c>
      <c r="N166">
        <v>4511</v>
      </c>
      <c r="O166">
        <v>3970</v>
      </c>
      <c r="P166">
        <v>3601</v>
      </c>
      <c r="Q166">
        <v>3558</v>
      </c>
      <c r="R166">
        <v>2951</v>
      </c>
      <c r="S166">
        <v>2816</v>
      </c>
      <c r="T166">
        <v>2702</v>
      </c>
      <c r="U166">
        <v>2171</v>
      </c>
      <c r="V166">
        <v>1818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1096499</v>
      </c>
    </row>
    <row r="167" spans="1:51" hidden="1" x14ac:dyDescent="0.2">
      <c r="A167" t="s">
        <v>10</v>
      </c>
      <c r="C167">
        <v>165</v>
      </c>
      <c r="D167">
        <v>17</v>
      </c>
      <c r="E167" t="s">
        <v>251</v>
      </c>
      <c r="F167">
        <v>2014</v>
      </c>
      <c r="H167">
        <v>429868</v>
      </c>
      <c r="I167">
        <v>355827</v>
      </c>
      <c r="J167">
        <v>258683</v>
      </c>
      <c r="K167">
        <v>12934</v>
      </c>
      <c r="L167">
        <v>10448</v>
      </c>
      <c r="M167">
        <v>8322</v>
      </c>
      <c r="N167">
        <v>6301</v>
      </c>
      <c r="O167">
        <v>4732</v>
      </c>
      <c r="P167">
        <v>2390</v>
      </c>
      <c r="Q167">
        <v>2195</v>
      </c>
      <c r="R167">
        <v>1674</v>
      </c>
      <c r="S167">
        <v>1673</v>
      </c>
      <c r="T167">
        <v>1528</v>
      </c>
      <c r="U167">
        <v>1507</v>
      </c>
      <c r="V167">
        <v>1245</v>
      </c>
      <c r="W167">
        <v>1094</v>
      </c>
      <c r="X167">
        <v>1063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1101484</v>
      </c>
    </row>
    <row r="168" spans="1:51" hidden="1" x14ac:dyDescent="0.2">
      <c r="A168" t="s">
        <v>10</v>
      </c>
      <c r="C168">
        <v>166</v>
      </c>
      <c r="D168">
        <v>17</v>
      </c>
      <c r="E168" t="s">
        <v>252</v>
      </c>
      <c r="F168">
        <v>2014</v>
      </c>
      <c r="H168">
        <v>524370</v>
      </c>
      <c r="I168">
        <v>518852</v>
      </c>
      <c r="J168">
        <v>86993</v>
      </c>
      <c r="K168">
        <v>22391</v>
      </c>
      <c r="L168">
        <v>8604</v>
      </c>
      <c r="M168">
        <v>6021</v>
      </c>
      <c r="N168">
        <v>4354</v>
      </c>
      <c r="O168">
        <v>4098</v>
      </c>
      <c r="P168">
        <v>4021</v>
      </c>
      <c r="Q168">
        <v>3070</v>
      </c>
      <c r="R168">
        <v>2163</v>
      </c>
      <c r="S168">
        <v>1643</v>
      </c>
      <c r="T168">
        <v>1423</v>
      </c>
      <c r="U168">
        <v>1179</v>
      </c>
      <c r="V168">
        <v>1172</v>
      </c>
      <c r="W168">
        <v>1165</v>
      </c>
      <c r="X168">
        <v>1119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1192638</v>
      </c>
    </row>
    <row r="169" spans="1:51" hidden="1" x14ac:dyDescent="0.2">
      <c r="A169" t="s">
        <v>10</v>
      </c>
      <c r="C169">
        <v>167</v>
      </c>
      <c r="D169">
        <v>16</v>
      </c>
      <c r="E169" t="s">
        <v>253</v>
      </c>
      <c r="F169">
        <v>2014</v>
      </c>
      <c r="H169">
        <v>503908</v>
      </c>
      <c r="I169">
        <v>472300</v>
      </c>
      <c r="J169">
        <v>138587</v>
      </c>
      <c r="K169">
        <v>13637</v>
      </c>
      <c r="L169">
        <v>8924</v>
      </c>
      <c r="M169">
        <v>5650</v>
      </c>
      <c r="N169">
        <v>3726</v>
      </c>
      <c r="O169">
        <v>2078</v>
      </c>
      <c r="P169">
        <v>2032</v>
      </c>
      <c r="Q169">
        <v>1516</v>
      </c>
      <c r="R169">
        <v>1439</v>
      </c>
      <c r="S169">
        <v>1342</v>
      </c>
      <c r="T169">
        <v>1246</v>
      </c>
      <c r="U169">
        <v>1215</v>
      </c>
      <c r="V169">
        <v>1016</v>
      </c>
      <c r="W169">
        <v>978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1159594</v>
      </c>
    </row>
    <row r="170" spans="1:51" hidden="1" x14ac:dyDescent="0.2">
      <c r="A170" t="s">
        <v>10</v>
      </c>
      <c r="C170">
        <v>168</v>
      </c>
      <c r="D170">
        <v>15</v>
      </c>
      <c r="E170" t="s">
        <v>254</v>
      </c>
      <c r="F170">
        <v>2014</v>
      </c>
      <c r="H170">
        <v>567782</v>
      </c>
      <c r="I170">
        <v>426600</v>
      </c>
      <c r="J170">
        <v>58760</v>
      </c>
      <c r="K170">
        <v>34846</v>
      </c>
      <c r="L170">
        <v>12697</v>
      </c>
      <c r="M170">
        <v>6604</v>
      </c>
      <c r="N170">
        <v>5398</v>
      </c>
      <c r="O170">
        <v>3906</v>
      </c>
      <c r="P170">
        <v>3357</v>
      </c>
      <c r="Q170">
        <v>2762</v>
      </c>
      <c r="R170">
        <v>2492</v>
      </c>
      <c r="S170">
        <v>2043</v>
      </c>
      <c r="T170">
        <v>2008</v>
      </c>
      <c r="U170">
        <v>1949</v>
      </c>
      <c r="V170">
        <v>1825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1133029</v>
      </c>
    </row>
    <row r="171" spans="1:51" hidden="1" x14ac:dyDescent="0.2">
      <c r="A171" t="s">
        <v>10</v>
      </c>
      <c r="C171">
        <v>169</v>
      </c>
      <c r="D171">
        <v>16</v>
      </c>
      <c r="E171" t="s">
        <v>255</v>
      </c>
      <c r="F171">
        <v>2014</v>
      </c>
      <c r="H171">
        <v>652723</v>
      </c>
      <c r="I171">
        <v>421243</v>
      </c>
      <c r="J171">
        <v>317870</v>
      </c>
      <c r="K171">
        <v>17195</v>
      </c>
      <c r="L171">
        <v>11594</v>
      </c>
      <c r="M171">
        <v>9871</v>
      </c>
      <c r="N171">
        <v>6154</v>
      </c>
      <c r="O171">
        <v>5420</v>
      </c>
      <c r="P171">
        <v>2782</v>
      </c>
      <c r="Q171">
        <v>2577</v>
      </c>
      <c r="R171">
        <v>2142</v>
      </c>
      <c r="S171">
        <v>1503</v>
      </c>
      <c r="T171">
        <v>1345</v>
      </c>
      <c r="U171">
        <v>1008</v>
      </c>
      <c r="V171">
        <v>958</v>
      </c>
      <c r="W171">
        <v>859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1455244</v>
      </c>
    </row>
    <row r="172" spans="1:51" hidden="1" x14ac:dyDescent="0.2">
      <c r="A172" t="s">
        <v>10</v>
      </c>
      <c r="C172">
        <v>170</v>
      </c>
      <c r="D172">
        <v>15</v>
      </c>
      <c r="E172" t="s">
        <v>256</v>
      </c>
      <c r="F172">
        <v>2014</v>
      </c>
      <c r="H172">
        <v>718326</v>
      </c>
      <c r="I172">
        <v>488562</v>
      </c>
      <c r="J172">
        <v>92681</v>
      </c>
      <c r="K172">
        <v>28107</v>
      </c>
      <c r="L172">
        <v>11996</v>
      </c>
      <c r="M172">
        <v>5586</v>
      </c>
      <c r="N172">
        <v>3784</v>
      </c>
      <c r="O172">
        <v>1561</v>
      </c>
      <c r="P172">
        <v>1131</v>
      </c>
      <c r="Q172">
        <v>1033</v>
      </c>
      <c r="R172">
        <v>919</v>
      </c>
      <c r="S172">
        <v>911</v>
      </c>
      <c r="T172">
        <v>829</v>
      </c>
      <c r="U172">
        <v>680</v>
      </c>
      <c r="V172">
        <v>612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1356718</v>
      </c>
    </row>
    <row r="173" spans="1:51" hidden="1" x14ac:dyDescent="0.2">
      <c r="A173" t="s">
        <v>10</v>
      </c>
      <c r="C173">
        <v>171</v>
      </c>
      <c r="D173">
        <v>27</v>
      </c>
      <c r="E173" t="s">
        <v>257</v>
      </c>
      <c r="F173">
        <v>2014</v>
      </c>
      <c r="H173">
        <v>557130</v>
      </c>
      <c r="I173">
        <v>419630</v>
      </c>
      <c r="J173">
        <v>39869</v>
      </c>
      <c r="K173">
        <v>20387</v>
      </c>
      <c r="L173">
        <v>8449</v>
      </c>
      <c r="M173">
        <v>5806</v>
      </c>
      <c r="N173">
        <v>3204</v>
      </c>
      <c r="O173">
        <v>2543</v>
      </c>
      <c r="P173">
        <v>2276</v>
      </c>
      <c r="Q173">
        <v>1878</v>
      </c>
      <c r="R173">
        <v>1836</v>
      </c>
      <c r="S173">
        <v>1507</v>
      </c>
      <c r="T173">
        <v>1228</v>
      </c>
      <c r="U173">
        <v>1198</v>
      </c>
      <c r="V173">
        <v>942</v>
      </c>
      <c r="W173">
        <v>903</v>
      </c>
      <c r="X173">
        <v>707</v>
      </c>
      <c r="Y173">
        <v>700</v>
      </c>
      <c r="Z173">
        <v>668</v>
      </c>
      <c r="AA173">
        <v>553</v>
      </c>
      <c r="AB173">
        <v>549</v>
      </c>
      <c r="AC173">
        <v>543</v>
      </c>
      <c r="AD173">
        <v>519</v>
      </c>
      <c r="AE173">
        <v>422</v>
      </c>
      <c r="AF173">
        <v>411</v>
      </c>
      <c r="AG173">
        <v>366</v>
      </c>
      <c r="AH173">
        <v>365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1074589</v>
      </c>
    </row>
    <row r="174" spans="1:51" hidden="1" x14ac:dyDescent="0.2">
      <c r="A174" t="s">
        <v>10</v>
      </c>
      <c r="C174">
        <v>172</v>
      </c>
      <c r="D174">
        <v>24</v>
      </c>
      <c r="E174" t="s">
        <v>258</v>
      </c>
      <c r="F174">
        <v>2014</v>
      </c>
      <c r="H174">
        <v>633816</v>
      </c>
      <c r="I174">
        <v>405241</v>
      </c>
      <c r="J174">
        <v>25677</v>
      </c>
      <c r="K174">
        <v>21403</v>
      </c>
      <c r="L174">
        <v>7414</v>
      </c>
      <c r="M174">
        <v>4247</v>
      </c>
      <c r="N174">
        <v>2747</v>
      </c>
      <c r="O174">
        <v>2325</v>
      </c>
      <c r="P174">
        <v>2061</v>
      </c>
      <c r="Q174">
        <v>929</v>
      </c>
      <c r="R174">
        <v>918</v>
      </c>
      <c r="S174">
        <v>781</v>
      </c>
      <c r="T174">
        <v>736</v>
      </c>
      <c r="U174">
        <v>672</v>
      </c>
      <c r="V174">
        <v>604</v>
      </c>
      <c r="W174">
        <v>586</v>
      </c>
      <c r="X174">
        <v>581</v>
      </c>
      <c r="Y174">
        <v>549</v>
      </c>
      <c r="Z174">
        <v>502</v>
      </c>
      <c r="AA174">
        <v>484</v>
      </c>
      <c r="AB174">
        <v>428</v>
      </c>
      <c r="AC174">
        <v>414</v>
      </c>
      <c r="AD174">
        <v>365</v>
      </c>
      <c r="AE174">
        <v>246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1113726</v>
      </c>
    </row>
    <row r="175" spans="1:51" hidden="1" x14ac:dyDescent="0.2">
      <c r="A175" t="s">
        <v>10</v>
      </c>
      <c r="C175">
        <v>173</v>
      </c>
      <c r="D175">
        <v>20</v>
      </c>
      <c r="E175" t="s">
        <v>259</v>
      </c>
      <c r="F175">
        <v>2014</v>
      </c>
      <c r="H175">
        <v>424800</v>
      </c>
      <c r="I175">
        <v>415280</v>
      </c>
      <c r="J175">
        <v>346339</v>
      </c>
      <c r="K175">
        <v>26071</v>
      </c>
      <c r="L175">
        <v>7682</v>
      </c>
      <c r="M175">
        <v>7127</v>
      </c>
      <c r="N175">
        <v>6827</v>
      </c>
      <c r="O175">
        <v>6279</v>
      </c>
      <c r="P175">
        <v>4689</v>
      </c>
      <c r="Q175">
        <v>3895</v>
      </c>
      <c r="R175">
        <v>3410</v>
      </c>
      <c r="S175">
        <v>1897</v>
      </c>
      <c r="T175">
        <v>1586</v>
      </c>
      <c r="U175">
        <v>1465</v>
      </c>
      <c r="V175">
        <v>1404</v>
      </c>
      <c r="W175">
        <v>1215</v>
      </c>
      <c r="X175">
        <v>931</v>
      </c>
      <c r="Y175">
        <v>892</v>
      </c>
      <c r="Z175">
        <v>799</v>
      </c>
      <c r="AA175">
        <v>686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1263274</v>
      </c>
    </row>
    <row r="176" spans="1:51" hidden="1" x14ac:dyDescent="0.2">
      <c r="A176" t="s">
        <v>10</v>
      </c>
      <c r="C176">
        <v>174</v>
      </c>
      <c r="D176">
        <v>23</v>
      </c>
      <c r="E176" t="s">
        <v>260</v>
      </c>
      <c r="F176">
        <v>2014</v>
      </c>
      <c r="H176">
        <v>418926</v>
      </c>
      <c r="I176">
        <v>371076</v>
      </c>
      <c r="J176">
        <v>267322</v>
      </c>
      <c r="K176">
        <v>17563</v>
      </c>
      <c r="L176">
        <v>6713</v>
      </c>
      <c r="M176">
        <v>6236</v>
      </c>
      <c r="N176">
        <v>5097</v>
      </c>
      <c r="O176">
        <v>4934</v>
      </c>
      <c r="P176">
        <v>4803</v>
      </c>
      <c r="Q176">
        <v>3601</v>
      </c>
      <c r="R176">
        <v>2907</v>
      </c>
      <c r="S176">
        <v>2663</v>
      </c>
      <c r="T176">
        <v>2074</v>
      </c>
      <c r="U176">
        <v>1759</v>
      </c>
      <c r="V176">
        <v>1583</v>
      </c>
      <c r="W176">
        <v>1517</v>
      </c>
      <c r="X176">
        <v>1424</v>
      </c>
      <c r="Y176">
        <v>1398</v>
      </c>
      <c r="Z176">
        <v>1291</v>
      </c>
      <c r="AA176">
        <v>1275</v>
      </c>
      <c r="AB176">
        <v>1144</v>
      </c>
      <c r="AC176">
        <v>1089</v>
      </c>
      <c r="AD176">
        <v>920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1127315</v>
      </c>
    </row>
    <row r="177" spans="1:51" hidden="1" x14ac:dyDescent="0.2">
      <c r="A177" t="s">
        <v>11</v>
      </c>
      <c r="C177">
        <v>175</v>
      </c>
      <c r="D177">
        <v>15</v>
      </c>
      <c r="E177" t="s">
        <v>261</v>
      </c>
      <c r="F177">
        <v>2014</v>
      </c>
      <c r="H177">
        <v>378043</v>
      </c>
      <c r="I177">
        <v>172826</v>
      </c>
      <c r="J177">
        <v>9713</v>
      </c>
      <c r="K177">
        <v>6103</v>
      </c>
      <c r="L177">
        <v>4996</v>
      </c>
      <c r="M177">
        <v>4194</v>
      </c>
      <c r="N177">
        <v>3104</v>
      </c>
      <c r="O177">
        <v>3057</v>
      </c>
      <c r="P177">
        <v>2655</v>
      </c>
      <c r="Q177">
        <v>1222</v>
      </c>
      <c r="R177">
        <v>1002</v>
      </c>
      <c r="S177">
        <v>880</v>
      </c>
      <c r="T177">
        <v>824</v>
      </c>
      <c r="U177">
        <v>755</v>
      </c>
      <c r="V177">
        <v>632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590006</v>
      </c>
    </row>
    <row r="178" spans="1:51" hidden="1" x14ac:dyDescent="0.2">
      <c r="A178" t="s">
        <v>11</v>
      </c>
      <c r="C178">
        <v>176</v>
      </c>
      <c r="D178">
        <v>12</v>
      </c>
      <c r="E178" t="s">
        <v>262</v>
      </c>
      <c r="F178">
        <v>2014</v>
      </c>
      <c r="H178">
        <v>427622</v>
      </c>
      <c r="I178">
        <v>421056</v>
      </c>
      <c r="J178">
        <v>51636</v>
      </c>
      <c r="K178">
        <v>19170</v>
      </c>
      <c r="L178">
        <v>7026</v>
      </c>
      <c r="M178">
        <v>6106</v>
      </c>
      <c r="N178">
        <v>4240</v>
      </c>
      <c r="O178">
        <v>2745</v>
      </c>
      <c r="P178">
        <v>2371</v>
      </c>
      <c r="Q178">
        <v>2109</v>
      </c>
      <c r="R178">
        <v>1536</v>
      </c>
      <c r="S178">
        <v>1500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947117</v>
      </c>
    </row>
    <row r="179" spans="1:51" hidden="1" x14ac:dyDescent="0.2">
      <c r="A179" t="s">
        <v>11</v>
      </c>
      <c r="C179">
        <v>177</v>
      </c>
      <c r="D179">
        <v>12</v>
      </c>
      <c r="E179" t="s">
        <v>263</v>
      </c>
      <c r="F179">
        <v>2014</v>
      </c>
      <c r="H179">
        <v>416479</v>
      </c>
      <c r="I179">
        <v>413173</v>
      </c>
      <c r="J179">
        <v>76313</v>
      </c>
      <c r="K179">
        <v>17229</v>
      </c>
      <c r="L179">
        <v>15058</v>
      </c>
      <c r="M179">
        <v>6245</v>
      </c>
      <c r="N179">
        <v>6107</v>
      </c>
      <c r="O179">
        <v>3485</v>
      </c>
      <c r="P179">
        <v>2150</v>
      </c>
      <c r="Q179">
        <v>1679</v>
      </c>
      <c r="R179">
        <v>731</v>
      </c>
      <c r="S179">
        <v>693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959342</v>
      </c>
    </row>
    <row r="180" spans="1:51" hidden="1" x14ac:dyDescent="0.2">
      <c r="A180" t="s">
        <v>11</v>
      </c>
      <c r="C180">
        <v>178</v>
      </c>
      <c r="D180">
        <v>16</v>
      </c>
      <c r="E180" t="s">
        <v>264</v>
      </c>
      <c r="F180">
        <v>2014</v>
      </c>
      <c r="H180">
        <v>377035</v>
      </c>
      <c r="I180">
        <v>356165</v>
      </c>
      <c r="J180">
        <v>80752</v>
      </c>
      <c r="K180">
        <v>37123</v>
      </c>
      <c r="L180">
        <v>14327</v>
      </c>
      <c r="M180">
        <v>12645</v>
      </c>
      <c r="N180">
        <v>10729</v>
      </c>
      <c r="O180">
        <v>10684</v>
      </c>
      <c r="P180">
        <v>5476</v>
      </c>
      <c r="Q180">
        <v>2855</v>
      </c>
      <c r="R180">
        <v>1517</v>
      </c>
      <c r="S180">
        <v>1317</v>
      </c>
      <c r="T180">
        <v>1308</v>
      </c>
      <c r="U180">
        <v>1222</v>
      </c>
      <c r="V180">
        <v>1103</v>
      </c>
      <c r="W180">
        <v>741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914999</v>
      </c>
    </row>
    <row r="181" spans="1:51" hidden="1" x14ac:dyDescent="0.2">
      <c r="A181" t="s">
        <v>11</v>
      </c>
      <c r="C181">
        <v>179</v>
      </c>
      <c r="D181">
        <v>14</v>
      </c>
      <c r="E181" t="s">
        <v>265</v>
      </c>
      <c r="F181">
        <v>2014</v>
      </c>
      <c r="H181">
        <v>397615</v>
      </c>
      <c r="I181">
        <v>380732</v>
      </c>
      <c r="J181">
        <v>115760</v>
      </c>
      <c r="K181">
        <v>13934</v>
      </c>
      <c r="L181">
        <v>10596</v>
      </c>
      <c r="M181">
        <v>6993</v>
      </c>
      <c r="N181">
        <v>6381</v>
      </c>
      <c r="O181">
        <v>2665</v>
      </c>
      <c r="P181">
        <v>2331</v>
      </c>
      <c r="Q181">
        <v>1991</v>
      </c>
      <c r="R181">
        <v>1909</v>
      </c>
      <c r="S181">
        <v>964</v>
      </c>
      <c r="T181">
        <v>665</v>
      </c>
      <c r="U181">
        <v>473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943009</v>
      </c>
    </row>
    <row r="182" spans="1:51" hidden="1" x14ac:dyDescent="0.2">
      <c r="A182" t="s">
        <v>11</v>
      </c>
      <c r="C182">
        <v>180</v>
      </c>
      <c r="D182">
        <v>11</v>
      </c>
      <c r="E182" t="s">
        <v>266</v>
      </c>
      <c r="F182">
        <v>2014</v>
      </c>
      <c r="H182">
        <v>437723</v>
      </c>
      <c r="I182">
        <v>242984</v>
      </c>
      <c r="J182">
        <v>64705</v>
      </c>
      <c r="K182">
        <v>47853</v>
      </c>
      <c r="L182">
        <v>29216</v>
      </c>
      <c r="M182">
        <v>21829</v>
      </c>
      <c r="N182">
        <v>2745</v>
      </c>
      <c r="O182">
        <v>2491</v>
      </c>
      <c r="P182">
        <v>1376</v>
      </c>
      <c r="Q182">
        <v>1330</v>
      </c>
      <c r="R182">
        <v>1215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853467</v>
      </c>
    </row>
    <row r="183" spans="1:51" hidden="1" x14ac:dyDescent="0.2">
      <c r="A183" t="s">
        <v>11</v>
      </c>
      <c r="C183">
        <v>181</v>
      </c>
      <c r="D183">
        <v>12</v>
      </c>
      <c r="E183" t="s">
        <v>267</v>
      </c>
      <c r="F183">
        <v>2014</v>
      </c>
      <c r="H183">
        <v>378503</v>
      </c>
      <c r="I183">
        <v>353093</v>
      </c>
      <c r="J183">
        <v>75212</v>
      </c>
      <c r="K183">
        <v>26640</v>
      </c>
      <c r="L183">
        <v>11034</v>
      </c>
      <c r="M183">
        <v>9504</v>
      </c>
      <c r="N183">
        <v>7494</v>
      </c>
      <c r="O183">
        <v>2434</v>
      </c>
      <c r="P183">
        <v>2261</v>
      </c>
      <c r="Q183">
        <v>2153</v>
      </c>
      <c r="R183">
        <v>2044</v>
      </c>
      <c r="S183">
        <v>1220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871592</v>
      </c>
    </row>
    <row r="184" spans="1:51" hidden="1" x14ac:dyDescent="0.2">
      <c r="A184" t="s">
        <v>11</v>
      </c>
      <c r="C184">
        <v>182</v>
      </c>
      <c r="D184">
        <v>16</v>
      </c>
      <c r="E184" t="s">
        <v>268</v>
      </c>
      <c r="F184">
        <v>2014</v>
      </c>
      <c r="H184">
        <v>412897</v>
      </c>
      <c r="I184">
        <v>307597</v>
      </c>
      <c r="J184">
        <v>136587</v>
      </c>
      <c r="K184">
        <v>12504</v>
      </c>
      <c r="L184">
        <v>11291</v>
      </c>
      <c r="M184">
        <v>8667</v>
      </c>
      <c r="N184">
        <v>4933</v>
      </c>
      <c r="O184">
        <v>3946</v>
      </c>
      <c r="P184">
        <v>2654</v>
      </c>
      <c r="Q184">
        <v>1963</v>
      </c>
      <c r="R184">
        <v>1946</v>
      </c>
      <c r="S184">
        <v>1416</v>
      </c>
      <c r="T184">
        <v>1231</v>
      </c>
      <c r="U184">
        <v>1092</v>
      </c>
      <c r="V184">
        <v>828</v>
      </c>
      <c r="W184">
        <v>770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910322</v>
      </c>
    </row>
    <row r="185" spans="1:51" hidden="1" x14ac:dyDescent="0.2">
      <c r="A185" t="s">
        <v>11</v>
      </c>
      <c r="C185">
        <v>183</v>
      </c>
      <c r="D185">
        <v>13</v>
      </c>
      <c r="E185" t="s">
        <v>269</v>
      </c>
      <c r="F185">
        <v>2014</v>
      </c>
      <c r="H185">
        <v>411808</v>
      </c>
      <c r="I185">
        <v>374496</v>
      </c>
      <c r="J185">
        <v>87803</v>
      </c>
      <c r="K185">
        <v>21417</v>
      </c>
      <c r="L185">
        <v>7820</v>
      </c>
      <c r="M185">
        <v>5260</v>
      </c>
      <c r="N185">
        <v>4436</v>
      </c>
      <c r="O185">
        <v>4392</v>
      </c>
      <c r="P185">
        <v>2911</v>
      </c>
      <c r="Q185">
        <v>2159</v>
      </c>
      <c r="R185">
        <v>2102</v>
      </c>
      <c r="S185">
        <v>1692</v>
      </c>
      <c r="T185">
        <v>932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927228</v>
      </c>
    </row>
    <row r="186" spans="1:51" hidden="1" x14ac:dyDescent="0.2">
      <c r="A186" t="s">
        <v>11</v>
      </c>
      <c r="C186">
        <v>184</v>
      </c>
      <c r="D186">
        <v>15</v>
      </c>
      <c r="E186" t="s">
        <v>270</v>
      </c>
      <c r="F186">
        <v>2014</v>
      </c>
      <c r="H186">
        <v>389209</v>
      </c>
      <c r="I186">
        <v>350982</v>
      </c>
      <c r="J186">
        <v>102681</v>
      </c>
      <c r="K186">
        <v>44638</v>
      </c>
      <c r="L186">
        <v>10050</v>
      </c>
      <c r="M186">
        <v>6894</v>
      </c>
      <c r="N186">
        <v>6044</v>
      </c>
      <c r="O186">
        <v>3959</v>
      </c>
      <c r="P186">
        <v>2110</v>
      </c>
      <c r="Q186">
        <v>949</v>
      </c>
      <c r="R186">
        <v>718</v>
      </c>
      <c r="S186">
        <v>659</v>
      </c>
      <c r="T186">
        <v>616</v>
      </c>
      <c r="U186">
        <v>546</v>
      </c>
      <c r="V186">
        <v>450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920505</v>
      </c>
    </row>
    <row r="187" spans="1:51" hidden="1" x14ac:dyDescent="0.2">
      <c r="A187" t="s">
        <v>11</v>
      </c>
      <c r="C187">
        <v>185</v>
      </c>
      <c r="D187">
        <v>16</v>
      </c>
      <c r="E187" t="s">
        <v>271</v>
      </c>
      <c r="F187">
        <v>2014</v>
      </c>
      <c r="H187">
        <v>358440</v>
      </c>
      <c r="I187">
        <v>344556</v>
      </c>
      <c r="J187">
        <v>92848</v>
      </c>
      <c r="K187">
        <v>35189</v>
      </c>
      <c r="L187">
        <v>14386</v>
      </c>
      <c r="M187">
        <v>12942</v>
      </c>
      <c r="N187">
        <v>10552</v>
      </c>
      <c r="O187">
        <v>4596</v>
      </c>
      <c r="P187">
        <v>2052</v>
      </c>
      <c r="Q187">
        <v>1942</v>
      </c>
      <c r="R187">
        <v>1376</v>
      </c>
      <c r="S187">
        <v>1346</v>
      </c>
      <c r="T187">
        <v>1114</v>
      </c>
      <c r="U187">
        <v>932</v>
      </c>
      <c r="V187">
        <v>900</v>
      </c>
      <c r="W187">
        <v>862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884033</v>
      </c>
    </row>
    <row r="188" spans="1:51" hidden="1" x14ac:dyDescent="0.2">
      <c r="A188" t="s">
        <v>11</v>
      </c>
      <c r="C188">
        <v>186</v>
      </c>
      <c r="D188">
        <v>17</v>
      </c>
      <c r="E188" t="s">
        <v>272</v>
      </c>
      <c r="F188">
        <v>2014</v>
      </c>
      <c r="H188">
        <v>353841</v>
      </c>
      <c r="I188">
        <v>266794</v>
      </c>
      <c r="J188">
        <v>99003</v>
      </c>
      <c r="K188">
        <v>51517</v>
      </c>
      <c r="L188">
        <v>22733</v>
      </c>
      <c r="M188">
        <v>14825</v>
      </c>
      <c r="N188">
        <v>9735</v>
      </c>
      <c r="O188">
        <v>8246</v>
      </c>
      <c r="P188">
        <v>6156</v>
      </c>
      <c r="Q188">
        <v>5011</v>
      </c>
      <c r="R188">
        <v>2685</v>
      </c>
      <c r="S188">
        <v>2630</v>
      </c>
      <c r="T188">
        <v>2344</v>
      </c>
      <c r="U188">
        <v>2104</v>
      </c>
      <c r="V188">
        <v>1180</v>
      </c>
      <c r="W188">
        <v>1080</v>
      </c>
      <c r="X188">
        <v>950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850834</v>
      </c>
    </row>
    <row r="189" spans="1:51" hidden="1" x14ac:dyDescent="0.2">
      <c r="A189" t="s">
        <v>11</v>
      </c>
      <c r="C189">
        <v>187</v>
      </c>
      <c r="D189">
        <v>17</v>
      </c>
      <c r="E189" t="s">
        <v>273</v>
      </c>
      <c r="F189">
        <v>2014</v>
      </c>
      <c r="H189">
        <v>382019</v>
      </c>
      <c r="I189">
        <v>331477</v>
      </c>
      <c r="J189">
        <v>50438</v>
      </c>
      <c r="K189">
        <v>12338</v>
      </c>
      <c r="L189">
        <v>11215</v>
      </c>
      <c r="M189">
        <v>10401</v>
      </c>
      <c r="N189">
        <v>6024</v>
      </c>
      <c r="O189">
        <v>3971</v>
      </c>
      <c r="P189">
        <v>3057</v>
      </c>
      <c r="Q189">
        <v>2477</v>
      </c>
      <c r="R189">
        <v>1925</v>
      </c>
      <c r="S189">
        <v>1179</v>
      </c>
      <c r="T189">
        <v>1158</v>
      </c>
      <c r="U189">
        <v>629</v>
      </c>
      <c r="V189">
        <v>550</v>
      </c>
      <c r="W189">
        <v>493</v>
      </c>
      <c r="X189">
        <v>415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819766</v>
      </c>
    </row>
    <row r="190" spans="1:51" hidden="1" x14ac:dyDescent="0.2">
      <c r="A190" t="s">
        <v>11</v>
      </c>
      <c r="C190">
        <v>188</v>
      </c>
      <c r="D190">
        <v>12</v>
      </c>
      <c r="E190" t="s">
        <v>274</v>
      </c>
      <c r="F190">
        <v>2014</v>
      </c>
      <c r="H190">
        <v>424194</v>
      </c>
      <c r="I190">
        <v>303595</v>
      </c>
      <c r="J190">
        <v>44357</v>
      </c>
      <c r="K190">
        <v>26381</v>
      </c>
      <c r="L190">
        <v>14024</v>
      </c>
      <c r="M190">
        <v>6732</v>
      </c>
      <c r="N190">
        <v>3513</v>
      </c>
      <c r="O190">
        <v>2879</v>
      </c>
      <c r="P190">
        <v>2157</v>
      </c>
      <c r="Q190">
        <v>1831</v>
      </c>
      <c r="R190">
        <v>1048</v>
      </c>
      <c r="S190">
        <v>925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831636</v>
      </c>
    </row>
    <row r="191" spans="1:51" hidden="1" x14ac:dyDescent="0.2">
      <c r="A191" t="s">
        <v>11</v>
      </c>
      <c r="C191">
        <v>189</v>
      </c>
      <c r="D191">
        <v>14</v>
      </c>
      <c r="E191" t="s">
        <v>275</v>
      </c>
      <c r="F191">
        <v>2014</v>
      </c>
      <c r="H191">
        <v>462525</v>
      </c>
      <c r="I191">
        <v>443118</v>
      </c>
      <c r="J191">
        <v>43051</v>
      </c>
      <c r="K191">
        <v>11338</v>
      </c>
      <c r="L191">
        <v>10993</v>
      </c>
      <c r="M191">
        <v>9414</v>
      </c>
      <c r="N191">
        <v>5921</v>
      </c>
      <c r="O191">
        <v>3385</v>
      </c>
      <c r="P191">
        <v>3149</v>
      </c>
      <c r="Q191">
        <v>1615</v>
      </c>
      <c r="R191">
        <v>1363</v>
      </c>
      <c r="S191">
        <v>709</v>
      </c>
      <c r="T191">
        <v>481</v>
      </c>
      <c r="U191">
        <v>402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997464</v>
      </c>
    </row>
    <row r="192" spans="1:51" hidden="1" x14ac:dyDescent="0.2">
      <c r="A192" t="s">
        <v>11</v>
      </c>
      <c r="C192">
        <v>190</v>
      </c>
      <c r="D192">
        <v>10</v>
      </c>
      <c r="E192" t="s">
        <v>276</v>
      </c>
      <c r="F192">
        <v>2014</v>
      </c>
      <c r="H192">
        <v>402432</v>
      </c>
      <c r="I192">
        <v>369695</v>
      </c>
      <c r="J192">
        <v>79743</v>
      </c>
      <c r="K192">
        <v>9459</v>
      </c>
      <c r="L192">
        <v>8946</v>
      </c>
      <c r="M192">
        <v>7753</v>
      </c>
      <c r="N192">
        <v>4736</v>
      </c>
      <c r="O192">
        <v>3603</v>
      </c>
      <c r="P192">
        <v>1486</v>
      </c>
      <c r="Q192">
        <v>1207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889060</v>
      </c>
    </row>
    <row r="193" spans="1:51" hidden="1" x14ac:dyDescent="0.2">
      <c r="A193" t="s">
        <v>11</v>
      </c>
      <c r="C193">
        <v>191</v>
      </c>
      <c r="D193">
        <v>17</v>
      </c>
      <c r="E193" t="s">
        <v>277</v>
      </c>
      <c r="F193">
        <v>2014</v>
      </c>
      <c r="H193">
        <v>358842</v>
      </c>
      <c r="I193">
        <v>302651</v>
      </c>
      <c r="J193">
        <v>138954</v>
      </c>
      <c r="K193">
        <v>16538</v>
      </c>
      <c r="L193">
        <v>16493</v>
      </c>
      <c r="M193">
        <v>11353</v>
      </c>
      <c r="N193">
        <v>10384</v>
      </c>
      <c r="O193">
        <v>4847</v>
      </c>
      <c r="P193">
        <v>2901</v>
      </c>
      <c r="Q193">
        <v>1236</v>
      </c>
      <c r="R193">
        <v>1021</v>
      </c>
      <c r="S193">
        <v>1005</v>
      </c>
      <c r="T193">
        <v>953</v>
      </c>
      <c r="U193">
        <v>748</v>
      </c>
      <c r="V193">
        <v>682</v>
      </c>
      <c r="W193">
        <v>460</v>
      </c>
      <c r="X193">
        <v>384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869452</v>
      </c>
    </row>
    <row r="194" spans="1:51" hidden="1" x14ac:dyDescent="0.2">
      <c r="A194" t="s">
        <v>11</v>
      </c>
      <c r="C194">
        <v>192</v>
      </c>
      <c r="D194">
        <v>12</v>
      </c>
      <c r="E194" t="s">
        <v>278</v>
      </c>
      <c r="F194">
        <v>2014</v>
      </c>
      <c r="H194">
        <v>408528</v>
      </c>
      <c r="I194">
        <v>370879</v>
      </c>
      <c r="J194">
        <v>58671</v>
      </c>
      <c r="K194">
        <v>12812</v>
      </c>
      <c r="L194">
        <v>7876</v>
      </c>
      <c r="M194">
        <v>4266</v>
      </c>
      <c r="N194">
        <v>3364</v>
      </c>
      <c r="O194">
        <v>3333</v>
      </c>
      <c r="P194">
        <v>3108</v>
      </c>
      <c r="Q194">
        <v>2808</v>
      </c>
      <c r="R194">
        <v>1709</v>
      </c>
      <c r="S194">
        <v>1702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879056</v>
      </c>
    </row>
    <row r="195" spans="1:51" hidden="1" x14ac:dyDescent="0.2">
      <c r="A195" t="s">
        <v>11</v>
      </c>
      <c r="C195">
        <v>193</v>
      </c>
      <c r="D195">
        <v>17</v>
      </c>
      <c r="E195" t="s">
        <v>279</v>
      </c>
      <c r="F195">
        <v>2014</v>
      </c>
      <c r="H195">
        <v>392478</v>
      </c>
      <c r="I195">
        <v>323100</v>
      </c>
      <c r="J195">
        <v>90528</v>
      </c>
      <c r="K195">
        <v>11225</v>
      </c>
      <c r="L195">
        <v>8586</v>
      </c>
      <c r="M195">
        <v>6924</v>
      </c>
      <c r="N195">
        <v>5511</v>
      </c>
      <c r="O195">
        <v>4862</v>
      </c>
      <c r="P195">
        <v>4064</v>
      </c>
      <c r="Q195">
        <v>3850</v>
      </c>
      <c r="R195">
        <v>2375</v>
      </c>
      <c r="S195">
        <v>2221</v>
      </c>
      <c r="T195">
        <v>1052</v>
      </c>
      <c r="U195">
        <v>736</v>
      </c>
      <c r="V195">
        <v>647</v>
      </c>
      <c r="W195">
        <v>615</v>
      </c>
      <c r="X195">
        <v>576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859350</v>
      </c>
    </row>
    <row r="196" spans="1:51" hidden="1" x14ac:dyDescent="0.2">
      <c r="A196" t="s">
        <v>11</v>
      </c>
      <c r="C196">
        <v>194</v>
      </c>
      <c r="D196">
        <v>21</v>
      </c>
      <c r="E196" t="s">
        <v>280</v>
      </c>
      <c r="F196">
        <v>2014</v>
      </c>
      <c r="H196">
        <v>297806</v>
      </c>
      <c r="I196">
        <v>282336</v>
      </c>
      <c r="J196">
        <v>248941</v>
      </c>
      <c r="K196">
        <v>14153</v>
      </c>
      <c r="L196">
        <v>4820</v>
      </c>
      <c r="M196">
        <v>4229</v>
      </c>
      <c r="N196">
        <v>3346</v>
      </c>
      <c r="O196">
        <v>3260</v>
      </c>
      <c r="P196">
        <v>2448</v>
      </c>
      <c r="Q196">
        <v>2103</v>
      </c>
      <c r="R196">
        <v>1851</v>
      </c>
      <c r="S196">
        <v>1716</v>
      </c>
      <c r="T196">
        <v>1689</v>
      </c>
      <c r="U196">
        <v>1271</v>
      </c>
      <c r="V196">
        <v>902</v>
      </c>
      <c r="W196">
        <v>843</v>
      </c>
      <c r="X196">
        <v>447</v>
      </c>
      <c r="Y196">
        <v>371</v>
      </c>
      <c r="Z196">
        <v>356</v>
      </c>
      <c r="AA196">
        <v>292</v>
      </c>
      <c r="AB196">
        <v>261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873441</v>
      </c>
    </row>
    <row r="197" spans="1:51" hidden="1" x14ac:dyDescent="0.2">
      <c r="A197" t="s">
        <v>12</v>
      </c>
      <c r="C197">
        <v>195</v>
      </c>
      <c r="D197">
        <v>18</v>
      </c>
      <c r="E197" t="s">
        <v>281</v>
      </c>
      <c r="F197">
        <v>2014</v>
      </c>
      <c r="H197">
        <v>375567</v>
      </c>
      <c r="I197">
        <v>242586</v>
      </c>
      <c r="J197">
        <v>184253</v>
      </c>
      <c r="K197">
        <v>13806</v>
      </c>
      <c r="L197">
        <v>6471</v>
      </c>
      <c r="M197">
        <v>5554</v>
      </c>
      <c r="N197">
        <v>4792</v>
      </c>
      <c r="O197">
        <v>4347</v>
      </c>
      <c r="P197">
        <v>3546</v>
      </c>
      <c r="Q197">
        <v>3006</v>
      </c>
      <c r="R197">
        <v>2114</v>
      </c>
      <c r="S197">
        <v>1969</v>
      </c>
      <c r="T197">
        <v>1429</v>
      </c>
      <c r="U197">
        <v>1145</v>
      </c>
      <c r="V197">
        <v>1058</v>
      </c>
      <c r="W197">
        <v>975</v>
      </c>
      <c r="X197">
        <v>852</v>
      </c>
      <c r="Y197">
        <v>809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854279</v>
      </c>
    </row>
    <row r="198" spans="1:51" hidden="1" x14ac:dyDescent="0.2">
      <c r="A198" t="s">
        <v>12</v>
      </c>
      <c r="C198">
        <v>196</v>
      </c>
      <c r="D198">
        <v>10</v>
      </c>
      <c r="E198" t="s">
        <v>282</v>
      </c>
      <c r="F198">
        <v>2014</v>
      </c>
      <c r="H198">
        <v>404474</v>
      </c>
      <c r="I198">
        <v>244513</v>
      </c>
      <c r="J198">
        <v>33803</v>
      </c>
      <c r="K198">
        <v>20403</v>
      </c>
      <c r="L198">
        <v>7730</v>
      </c>
      <c r="M198">
        <v>5572</v>
      </c>
      <c r="N198">
        <v>5198</v>
      </c>
      <c r="O198">
        <v>2899</v>
      </c>
      <c r="P198">
        <v>2699</v>
      </c>
      <c r="Q198">
        <v>1793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729084</v>
      </c>
    </row>
    <row r="199" spans="1:51" hidden="1" x14ac:dyDescent="0.2">
      <c r="A199" t="s">
        <v>12</v>
      </c>
      <c r="C199">
        <v>197</v>
      </c>
      <c r="D199">
        <v>22</v>
      </c>
      <c r="E199" t="s">
        <v>283</v>
      </c>
      <c r="F199">
        <v>2014</v>
      </c>
      <c r="H199">
        <v>442796</v>
      </c>
      <c r="I199">
        <v>413097</v>
      </c>
      <c r="J199">
        <v>68196</v>
      </c>
      <c r="K199">
        <v>11510</v>
      </c>
      <c r="L199">
        <v>10297</v>
      </c>
      <c r="M199">
        <v>5327</v>
      </c>
      <c r="N199">
        <v>4969</v>
      </c>
      <c r="O199">
        <v>4719</v>
      </c>
      <c r="P199">
        <v>4219</v>
      </c>
      <c r="Q199">
        <v>3963</v>
      </c>
      <c r="R199">
        <v>2659</v>
      </c>
      <c r="S199">
        <v>2244</v>
      </c>
      <c r="T199">
        <v>2122</v>
      </c>
      <c r="U199">
        <v>2101</v>
      </c>
      <c r="V199">
        <v>2054</v>
      </c>
      <c r="W199">
        <v>1981</v>
      </c>
      <c r="X199">
        <v>1687</v>
      </c>
      <c r="Y199">
        <v>1607</v>
      </c>
      <c r="Z199">
        <v>1477</v>
      </c>
      <c r="AA199">
        <v>1412</v>
      </c>
      <c r="AB199">
        <v>1408</v>
      </c>
      <c r="AC199">
        <v>1067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990912</v>
      </c>
    </row>
    <row r="200" spans="1:51" hidden="1" x14ac:dyDescent="0.2">
      <c r="A200" t="s">
        <v>12</v>
      </c>
      <c r="C200">
        <v>198</v>
      </c>
      <c r="D200">
        <v>12</v>
      </c>
      <c r="E200" t="s">
        <v>284</v>
      </c>
      <c r="F200">
        <v>2014</v>
      </c>
      <c r="H200">
        <v>517036</v>
      </c>
      <c r="I200">
        <v>396244</v>
      </c>
      <c r="J200">
        <v>27412</v>
      </c>
      <c r="K200">
        <v>12481</v>
      </c>
      <c r="L200">
        <v>5575</v>
      </c>
      <c r="M200">
        <v>4073</v>
      </c>
      <c r="N200">
        <v>3294</v>
      </c>
      <c r="O200">
        <v>2845</v>
      </c>
      <c r="P200">
        <v>2197</v>
      </c>
      <c r="Q200">
        <v>2079</v>
      </c>
      <c r="R200">
        <v>2072</v>
      </c>
      <c r="S200">
        <v>1321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976629</v>
      </c>
    </row>
    <row r="201" spans="1:51" hidden="1" x14ac:dyDescent="0.2">
      <c r="A201" t="s">
        <v>12</v>
      </c>
      <c r="C201">
        <v>199</v>
      </c>
      <c r="D201">
        <v>11</v>
      </c>
      <c r="E201" t="s">
        <v>285</v>
      </c>
      <c r="F201">
        <v>2014</v>
      </c>
      <c r="H201">
        <v>482580</v>
      </c>
      <c r="I201">
        <v>361843</v>
      </c>
      <c r="J201">
        <v>19917</v>
      </c>
      <c r="K201">
        <v>9504</v>
      </c>
      <c r="L201">
        <v>6328</v>
      </c>
      <c r="M201">
        <v>3856</v>
      </c>
      <c r="N201">
        <v>2020</v>
      </c>
      <c r="O201">
        <v>1632</v>
      </c>
      <c r="P201">
        <v>1565</v>
      </c>
      <c r="Q201">
        <v>1556</v>
      </c>
      <c r="R201">
        <v>1128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891929</v>
      </c>
    </row>
    <row r="202" spans="1:51" hidden="1" x14ac:dyDescent="0.2">
      <c r="A202" t="s">
        <v>12</v>
      </c>
      <c r="C202">
        <v>200</v>
      </c>
      <c r="D202">
        <v>14</v>
      </c>
      <c r="E202" t="s">
        <v>286</v>
      </c>
      <c r="F202">
        <v>2014</v>
      </c>
      <c r="H202">
        <v>422979</v>
      </c>
      <c r="I202">
        <v>214248</v>
      </c>
      <c r="J202">
        <v>47497</v>
      </c>
      <c r="K202">
        <v>23975</v>
      </c>
      <c r="L202">
        <v>15194</v>
      </c>
      <c r="M202">
        <v>10055</v>
      </c>
      <c r="N202">
        <v>5219</v>
      </c>
      <c r="O202">
        <v>4992</v>
      </c>
      <c r="P202">
        <v>4548</v>
      </c>
      <c r="Q202">
        <v>4400</v>
      </c>
      <c r="R202">
        <v>4035</v>
      </c>
      <c r="S202">
        <v>3855</v>
      </c>
      <c r="T202">
        <v>3094</v>
      </c>
      <c r="U202">
        <v>2230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766321</v>
      </c>
    </row>
    <row r="203" spans="1:51" hidden="1" x14ac:dyDescent="0.2">
      <c r="A203" t="s">
        <v>12</v>
      </c>
      <c r="C203">
        <v>201</v>
      </c>
      <c r="D203">
        <v>11</v>
      </c>
      <c r="E203" t="s">
        <v>287</v>
      </c>
      <c r="F203">
        <v>2014</v>
      </c>
      <c r="H203">
        <v>513079</v>
      </c>
      <c r="I203">
        <v>299780</v>
      </c>
      <c r="J203">
        <v>31519</v>
      </c>
      <c r="K203">
        <v>16350</v>
      </c>
      <c r="L203">
        <v>12600</v>
      </c>
      <c r="M203">
        <v>11298</v>
      </c>
      <c r="N203">
        <v>9343</v>
      </c>
      <c r="O203">
        <v>9266</v>
      </c>
      <c r="P203">
        <v>3429</v>
      </c>
      <c r="Q203">
        <v>2836</v>
      </c>
      <c r="R203">
        <v>2580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912080</v>
      </c>
    </row>
    <row r="204" spans="1:51" hidden="1" x14ac:dyDescent="0.2">
      <c r="A204" t="s">
        <v>12</v>
      </c>
      <c r="C204">
        <v>202</v>
      </c>
      <c r="D204">
        <v>18</v>
      </c>
      <c r="E204" t="s">
        <v>288</v>
      </c>
      <c r="F204">
        <v>2014</v>
      </c>
      <c r="H204">
        <v>474966</v>
      </c>
      <c r="I204">
        <v>227476</v>
      </c>
      <c r="J204">
        <v>60368</v>
      </c>
      <c r="K204">
        <v>40069</v>
      </c>
      <c r="L204">
        <v>13826</v>
      </c>
      <c r="M204">
        <v>10997</v>
      </c>
      <c r="N204">
        <v>8930</v>
      </c>
      <c r="O204">
        <v>7878</v>
      </c>
      <c r="P204">
        <v>5906</v>
      </c>
      <c r="Q204">
        <v>4084</v>
      </c>
      <c r="R204">
        <v>3505</v>
      </c>
      <c r="S204">
        <v>3187</v>
      </c>
      <c r="T204">
        <v>3012</v>
      </c>
      <c r="U204">
        <v>2625</v>
      </c>
      <c r="V204">
        <v>2549</v>
      </c>
      <c r="W204">
        <v>1936</v>
      </c>
      <c r="X204">
        <v>1679</v>
      </c>
      <c r="Y204">
        <v>1484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874477</v>
      </c>
    </row>
    <row r="205" spans="1:51" hidden="1" x14ac:dyDescent="0.2">
      <c r="A205" t="s">
        <v>12</v>
      </c>
      <c r="C205">
        <v>203</v>
      </c>
      <c r="D205">
        <v>15</v>
      </c>
      <c r="E205" t="s">
        <v>289</v>
      </c>
      <c r="F205">
        <v>2014</v>
      </c>
      <c r="H205">
        <v>375288</v>
      </c>
      <c r="I205">
        <v>366600</v>
      </c>
      <c r="J205">
        <v>124602</v>
      </c>
      <c r="K205">
        <v>13036</v>
      </c>
      <c r="L205">
        <v>7986</v>
      </c>
      <c r="M205">
        <v>7925</v>
      </c>
      <c r="N205">
        <v>5305</v>
      </c>
      <c r="O205">
        <v>2253</v>
      </c>
      <c r="P205">
        <v>2155</v>
      </c>
      <c r="Q205">
        <v>2021</v>
      </c>
      <c r="R205">
        <v>1694</v>
      </c>
      <c r="S205">
        <v>1503</v>
      </c>
      <c r="T205">
        <v>1202</v>
      </c>
      <c r="U205">
        <v>950</v>
      </c>
      <c r="V205">
        <v>924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913444</v>
      </c>
    </row>
    <row r="206" spans="1:51" hidden="1" x14ac:dyDescent="0.2">
      <c r="A206" t="s">
        <v>12</v>
      </c>
      <c r="C206">
        <v>204</v>
      </c>
      <c r="D206">
        <v>15</v>
      </c>
      <c r="E206" t="s">
        <v>290</v>
      </c>
      <c r="F206">
        <v>2014</v>
      </c>
      <c r="H206">
        <v>383320</v>
      </c>
      <c r="I206">
        <v>214594</v>
      </c>
      <c r="J206">
        <v>175567</v>
      </c>
      <c r="K206">
        <v>10658</v>
      </c>
      <c r="L206">
        <v>7527</v>
      </c>
      <c r="M206">
        <v>5835</v>
      </c>
      <c r="N206">
        <v>5057</v>
      </c>
      <c r="O206">
        <v>4794</v>
      </c>
      <c r="P206">
        <v>4718</v>
      </c>
      <c r="Q206">
        <v>4389</v>
      </c>
      <c r="R206">
        <v>3608</v>
      </c>
      <c r="S206">
        <v>3260</v>
      </c>
      <c r="T206">
        <v>3164</v>
      </c>
      <c r="U206">
        <v>2055</v>
      </c>
      <c r="V206">
        <v>1456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830002</v>
      </c>
    </row>
    <row r="207" spans="1:51" hidden="1" x14ac:dyDescent="0.2">
      <c r="A207" t="s">
        <v>12</v>
      </c>
      <c r="C207">
        <v>205</v>
      </c>
      <c r="D207">
        <v>15</v>
      </c>
      <c r="E207" t="s">
        <v>291</v>
      </c>
      <c r="F207">
        <v>2014</v>
      </c>
      <c r="H207">
        <v>475678</v>
      </c>
      <c r="I207">
        <v>367632</v>
      </c>
      <c r="J207">
        <v>39387</v>
      </c>
      <c r="K207">
        <v>23298</v>
      </c>
      <c r="L207">
        <v>17350</v>
      </c>
      <c r="M207">
        <v>10725</v>
      </c>
      <c r="N207">
        <v>10037</v>
      </c>
      <c r="O207">
        <v>9691</v>
      </c>
      <c r="P207">
        <v>7579</v>
      </c>
      <c r="Q207">
        <v>6627</v>
      </c>
      <c r="R207">
        <v>5830</v>
      </c>
      <c r="S207">
        <v>5472</v>
      </c>
      <c r="T207">
        <v>4348</v>
      </c>
      <c r="U207">
        <v>3763</v>
      </c>
      <c r="V207">
        <v>1979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989396</v>
      </c>
    </row>
    <row r="208" spans="1:51" hidden="1" x14ac:dyDescent="0.2">
      <c r="A208" t="s">
        <v>12</v>
      </c>
      <c r="C208">
        <v>206</v>
      </c>
      <c r="D208">
        <v>15</v>
      </c>
      <c r="E208" t="s">
        <v>292</v>
      </c>
      <c r="F208">
        <v>2014</v>
      </c>
      <c r="H208">
        <v>525419</v>
      </c>
      <c r="I208">
        <v>284118</v>
      </c>
      <c r="J208">
        <v>27619</v>
      </c>
      <c r="K208">
        <v>21376</v>
      </c>
      <c r="L208">
        <v>20834</v>
      </c>
      <c r="M208">
        <v>20312</v>
      </c>
      <c r="N208">
        <v>19409</v>
      </c>
      <c r="O208">
        <v>8288</v>
      </c>
      <c r="P208">
        <v>7507</v>
      </c>
      <c r="Q208">
        <v>7151</v>
      </c>
      <c r="R208">
        <v>6647</v>
      </c>
      <c r="S208">
        <v>5580</v>
      </c>
      <c r="T208">
        <v>5320</v>
      </c>
      <c r="U208">
        <v>5089</v>
      </c>
      <c r="V208">
        <v>3849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968518</v>
      </c>
    </row>
    <row r="209" spans="1:51" hidden="1" x14ac:dyDescent="0.2">
      <c r="A209" t="s">
        <v>12</v>
      </c>
      <c r="C209">
        <v>207</v>
      </c>
      <c r="D209">
        <v>16</v>
      </c>
      <c r="E209" t="s">
        <v>293</v>
      </c>
      <c r="F209">
        <v>2014</v>
      </c>
      <c r="H209">
        <v>564609</v>
      </c>
      <c r="I209">
        <v>355970</v>
      </c>
      <c r="J209">
        <v>16008</v>
      </c>
      <c r="K209">
        <v>15977</v>
      </c>
      <c r="L209">
        <v>9053</v>
      </c>
      <c r="M209">
        <v>7888</v>
      </c>
      <c r="N209">
        <v>7164</v>
      </c>
      <c r="O209">
        <v>6400</v>
      </c>
      <c r="P209">
        <v>4261</v>
      </c>
      <c r="Q209">
        <v>2990</v>
      </c>
      <c r="R209">
        <v>2797</v>
      </c>
      <c r="S209">
        <v>2234</v>
      </c>
      <c r="T209">
        <v>2007</v>
      </c>
      <c r="U209">
        <v>1852</v>
      </c>
      <c r="V209">
        <v>1562</v>
      </c>
      <c r="W209">
        <v>1412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1002184</v>
      </c>
    </row>
    <row r="210" spans="1:51" hidden="1" x14ac:dyDescent="0.2">
      <c r="A210" t="s">
        <v>12</v>
      </c>
      <c r="C210">
        <v>208</v>
      </c>
      <c r="D210">
        <v>11</v>
      </c>
      <c r="E210" t="s">
        <v>294</v>
      </c>
      <c r="F210">
        <v>2014</v>
      </c>
      <c r="H210">
        <v>585720</v>
      </c>
      <c r="I210">
        <v>475251</v>
      </c>
      <c r="J210">
        <v>56572</v>
      </c>
      <c r="K210">
        <v>28306</v>
      </c>
      <c r="L210">
        <v>21266</v>
      </c>
      <c r="M210">
        <v>11930</v>
      </c>
      <c r="N210">
        <v>11548</v>
      </c>
      <c r="O210">
        <v>11265</v>
      </c>
      <c r="P210">
        <v>6724</v>
      </c>
      <c r="Q210">
        <v>4980</v>
      </c>
      <c r="R210">
        <v>4956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1218518</v>
      </c>
    </row>
    <row r="211" spans="1:51" hidden="1" x14ac:dyDescent="0.2">
      <c r="A211" t="s">
        <v>12</v>
      </c>
      <c r="C211">
        <v>209</v>
      </c>
      <c r="D211">
        <v>17</v>
      </c>
      <c r="E211" t="s">
        <v>295</v>
      </c>
      <c r="F211">
        <v>2014</v>
      </c>
      <c r="H211">
        <v>480594</v>
      </c>
      <c r="I211">
        <v>384553</v>
      </c>
      <c r="J211">
        <v>99392</v>
      </c>
      <c r="K211">
        <v>46345</v>
      </c>
      <c r="L211">
        <v>20297</v>
      </c>
      <c r="M211">
        <v>15801</v>
      </c>
      <c r="N211">
        <v>11767</v>
      </c>
      <c r="O211">
        <v>10444</v>
      </c>
      <c r="P211">
        <v>9898</v>
      </c>
      <c r="Q211">
        <v>6922</v>
      </c>
      <c r="R211">
        <v>6374</v>
      </c>
      <c r="S211">
        <v>4427</v>
      </c>
      <c r="T211">
        <v>4397</v>
      </c>
      <c r="U211">
        <v>3250</v>
      </c>
      <c r="V211">
        <v>3243</v>
      </c>
      <c r="W211">
        <v>3008</v>
      </c>
      <c r="X211">
        <v>2652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1113364</v>
      </c>
    </row>
    <row r="212" spans="1:51" hidden="1" x14ac:dyDescent="0.2">
      <c r="A212" t="s">
        <v>12</v>
      </c>
      <c r="C212">
        <v>210</v>
      </c>
      <c r="D212">
        <v>14</v>
      </c>
      <c r="E212" t="s">
        <v>296</v>
      </c>
      <c r="F212">
        <v>2014</v>
      </c>
      <c r="H212">
        <v>559755</v>
      </c>
      <c r="I212">
        <v>443218</v>
      </c>
      <c r="J212">
        <v>25628</v>
      </c>
      <c r="K212">
        <v>25499</v>
      </c>
      <c r="L212">
        <v>12762</v>
      </c>
      <c r="M212">
        <v>12241</v>
      </c>
      <c r="N212">
        <v>6601</v>
      </c>
      <c r="O212">
        <v>5696</v>
      </c>
      <c r="P212">
        <v>3450</v>
      </c>
      <c r="Q212">
        <v>3117</v>
      </c>
      <c r="R212">
        <v>2872</v>
      </c>
      <c r="S212">
        <v>2484</v>
      </c>
      <c r="T212">
        <v>2140</v>
      </c>
      <c r="U212">
        <v>2035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1107498</v>
      </c>
    </row>
    <row r="213" spans="1:51" hidden="1" x14ac:dyDescent="0.2">
      <c r="A213" t="s">
        <v>12</v>
      </c>
      <c r="C213">
        <v>211</v>
      </c>
      <c r="D213">
        <v>9</v>
      </c>
      <c r="E213" t="s">
        <v>297</v>
      </c>
      <c r="F213">
        <v>2014</v>
      </c>
      <c r="H213">
        <v>669128</v>
      </c>
      <c r="I213">
        <v>279168</v>
      </c>
      <c r="J213">
        <v>18741</v>
      </c>
      <c r="K213">
        <v>17837</v>
      </c>
      <c r="L213">
        <v>14154</v>
      </c>
      <c r="M213">
        <v>13412</v>
      </c>
      <c r="N213">
        <v>7132</v>
      </c>
      <c r="O213">
        <v>6378</v>
      </c>
      <c r="P213">
        <v>5225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1031175</v>
      </c>
    </row>
    <row r="214" spans="1:51" hidden="1" x14ac:dyDescent="0.2">
      <c r="A214" t="s">
        <v>12</v>
      </c>
      <c r="C214">
        <v>212</v>
      </c>
      <c r="D214">
        <v>13</v>
      </c>
      <c r="E214" t="s">
        <v>298</v>
      </c>
      <c r="F214">
        <v>2014</v>
      </c>
      <c r="H214">
        <v>714348</v>
      </c>
      <c r="I214">
        <v>303650</v>
      </c>
      <c r="J214">
        <v>10824</v>
      </c>
      <c r="K214">
        <v>10618</v>
      </c>
      <c r="L214">
        <v>9699</v>
      </c>
      <c r="M214">
        <v>5359</v>
      </c>
      <c r="N214">
        <v>5204</v>
      </c>
      <c r="O214">
        <v>4159</v>
      </c>
      <c r="P214">
        <v>3293</v>
      </c>
      <c r="Q214">
        <v>2200</v>
      </c>
      <c r="R214">
        <v>1761</v>
      </c>
      <c r="S214">
        <v>1270</v>
      </c>
      <c r="T214">
        <v>1088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1073473</v>
      </c>
    </row>
    <row r="215" spans="1:51" hidden="1" x14ac:dyDescent="0.2">
      <c r="A215" t="s">
        <v>12</v>
      </c>
      <c r="C215">
        <v>213</v>
      </c>
      <c r="D215">
        <v>29</v>
      </c>
      <c r="E215" t="s">
        <v>299</v>
      </c>
      <c r="F215">
        <v>2014</v>
      </c>
      <c r="H215">
        <v>714178</v>
      </c>
      <c r="I215">
        <v>343482</v>
      </c>
      <c r="J215">
        <v>21298</v>
      </c>
      <c r="K215">
        <v>10152</v>
      </c>
      <c r="L215">
        <v>7643</v>
      </c>
      <c r="M215">
        <v>5742</v>
      </c>
      <c r="N215">
        <v>5557</v>
      </c>
      <c r="O215">
        <v>5181</v>
      </c>
      <c r="P215">
        <v>1878</v>
      </c>
      <c r="Q215">
        <v>1840</v>
      </c>
      <c r="R215">
        <v>1494</v>
      </c>
      <c r="S215">
        <v>1348</v>
      </c>
      <c r="T215">
        <v>832</v>
      </c>
      <c r="U215">
        <v>796</v>
      </c>
      <c r="V215">
        <v>763</v>
      </c>
      <c r="W215">
        <v>684</v>
      </c>
      <c r="X215">
        <v>681</v>
      </c>
      <c r="Y215">
        <v>628</v>
      </c>
      <c r="Z215">
        <v>625</v>
      </c>
      <c r="AA215">
        <v>622</v>
      </c>
      <c r="AB215">
        <v>620</v>
      </c>
      <c r="AC215">
        <v>614</v>
      </c>
      <c r="AD215">
        <v>570</v>
      </c>
      <c r="AE215">
        <v>569</v>
      </c>
      <c r="AF215">
        <v>551</v>
      </c>
      <c r="AG215">
        <v>523</v>
      </c>
      <c r="AH215">
        <v>465</v>
      </c>
      <c r="AI215">
        <v>425</v>
      </c>
      <c r="AJ215">
        <v>421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1130182</v>
      </c>
    </row>
    <row r="216" spans="1:51" hidden="1" x14ac:dyDescent="0.2">
      <c r="A216" t="s">
        <v>12</v>
      </c>
      <c r="C216">
        <v>214</v>
      </c>
      <c r="D216">
        <v>7</v>
      </c>
      <c r="E216" t="s">
        <v>300</v>
      </c>
      <c r="F216">
        <v>2014</v>
      </c>
      <c r="H216">
        <v>596727</v>
      </c>
      <c r="I216">
        <v>367990</v>
      </c>
      <c r="J216">
        <v>13864</v>
      </c>
      <c r="K216">
        <v>10292</v>
      </c>
      <c r="L216">
        <v>8818</v>
      </c>
      <c r="M216">
        <v>8699</v>
      </c>
      <c r="N216">
        <v>4334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1010724</v>
      </c>
    </row>
    <row r="217" spans="1:51" hidden="1" x14ac:dyDescent="0.2">
      <c r="A217" t="s">
        <v>12</v>
      </c>
      <c r="C217">
        <v>215</v>
      </c>
      <c r="D217">
        <v>12</v>
      </c>
      <c r="E217" t="s">
        <v>301</v>
      </c>
      <c r="F217">
        <v>2014</v>
      </c>
      <c r="H217">
        <v>665646</v>
      </c>
      <c r="I217">
        <v>405333</v>
      </c>
      <c r="J217">
        <v>17238</v>
      </c>
      <c r="K217">
        <v>16376</v>
      </c>
      <c r="L217">
        <v>10253</v>
      </c>
      <c r="M217">
        <v>10113</v>
      </c>
      <c r="N217">
        <v>4862</v>
      </c>
      <c r="O217">
        <v>4659</v>
      </c>
      <c r="P217">
        <v>4216</v>
      </c>
      <c r="Q217">
        <v>2763</v>
      </c>
      <c r="R217">
        <v>1509</v>
      </c>
      <c r="S217">
        <v>1002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1143970</v>
      </c>
    </row>
    <row r="218" spans="1:51" hidden="1" x14ac:dyDescent="0.2">
      <c r="A218" t="s">
        <v>12</v>
      </c>
      <c r="C218">
        <v>216</v>
      </c>
      <c r="D218">
        <v>13</v>
      </c>
      <c r="E218" t="s">
        <v>302</v>
      </c>
      <c r="F218">
        <v>2014</v>
      </c>
      <c r="H218">
        <v>641101</v>
      </c>
      <c r="I218">
        <v>331438</v>
      </c>
      <c r="J218">
        <v>12287</v>
      </c>
      <c r="K218">
        <v>9969</v>
      </c>
      <c r="L218">
        <v>5917</v>
      </c>
      <c r="M218">
        <v>4439</v>
      </c>
      <c r="N218">
        <v>3636</v>
      </c>
      <c r="O218">
        <v>2015</v>
      </c>
      <c r="P218">
        <v>1669</v>
      </c>
      <c r="Q218">
        <v>1257</v>
      </c>
      <c r="R218">
        <v>927</v>
      </c>
      <c r="S218">
        <v>902</v>
      </c>
      <c r="T218">
        <v>848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1016405</v>
      </c>
    </row>
    <row r="219" spans="1:51" hidden="1" x14ac:dyDescent="0.2">
      <c r="A219" t="s">
        <v>12</v>
      </c>
      <c r="C219">
        <v>217</v>
      </c>
      <c r="D219">
        <v>15</v>
      </c>
      <c r="E219" t="s">
        <v>303</v>
      </c>
      <c r="F219">
        <v>2014</v>
      </c>
      <c r="H219">
        <v>698335</v>
      </c>
      <c r="I219">
        <v>394686</v>
      </c>
      <c r="J219">
        <v>10183</v>
      </c>
      <c r="K219">
        <v>8568</v>
      </c>
      <c r="L219">
        <v>8333</v>
      </c>
      <c r="M219">
        <v>8104</v>
      </c>
      <c r="N219">
        <v>7992</v>
      </c>
      <c r="O219">
        <v>7615</v>
      </c>
      <c r="P219">
        <v>3501</v>
      </c>
      <c r="Q219">
        <v>3441</v>
      </c>
      <c r="R219">
        <v>3151</v>
      </c>
      <c r="S219">
        <v>2626</v>
      </c>
      <c r="T219">
        <v>1685</v>
      </c>
      <c r="U219">
        <v>1616</v>
      </c>
      <c r="V219">
        <v>1513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1161349</v>
      </c>
    </row>
    <row r="220" spans="1:51" hidden="1" x14ac:dyDescent="0.2">
      <c r="A220" t="s">
        <v>12</v>
      </c>
      <c r="C220">
        <v>218</v>
      </c>
      <c r="D220">
        <v>11</v>
      </c>
      <c r="E220" t="s">
        <v>304</v>
      </c>
      <c r="F220">
        <v>2014</v>
      </c>
      <c r="H220">
        <v>545980</v>
      </c>
      <c r="I220">
        <v>437523</v>
      </c>
      <c r="J220">
        <v>30364</v>
      </c>
      <c r="K220">
        <v>18485</v>
      </c>
      <c r="L220">
        <v>13116</v>
      </c>
      <c r="M220">
        <v>10979</v>
      </c>
      <c r="N220">
        <v>6638</v>
      </c>
      <c r="O220">
        <v>6085</v>
      </c>
      <c r="P220">
        <v>6078</v>
      </c>
      <c r="Q220">
        <v>3861</v>
      </c>
      <c r="R220">
        <v>3581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1082690</v>
      </c>
    </row>
    <row r="221" spans="1:51" hidden="1" x14ac:dyDescent="0.2">
      <c r="A221" t="s">
        <v>12</v>
      </c>
      <c r="C221">
        <v>219</v>
      </c>
      <c r="D221">
        <v>8</v>
      </c>
      <c r="E221" t="s">
        <v>305</v>
      </c>
      <c r="F221">
        <v>2014</v>
      </c>
      <c r="H221">
        <v>558387</v>
      </c>
      <c r="I221">
        <v>454059</v>
      </c>
      <c r="J221">
        <v>15437</v>
      </c>
      <c r="K221">
        <v>14666</v>
      </c>
      <c r="L221">
        <v>11481</v>
      </c>
      <c r="M221">
        <v>10683</v>
      </c>
      <c r="N221">
        <v>8303</v>
      </c>
      <c r="O221">
        <v>3800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1076816</v>
      </c>
    </row>
    <row r="222" spans="1:51" hidden="1" x14ac:dyDescent="0.2">
      <c r="A222" t="s">
        <v>12</v>
      </c>
      <c r="C222">
        <v>220</v>
      </c>
      <c r="D222">
        <v>22</v>
      </c>
      <c r="E222" t="s">
        <v>306</v>
      </c>
      <c r="F222">
        <v>2014</v>
      </c>
      <c r="H222">
        <v>854972</v>
      </c>
      <c r="I222">
        <v>388071</v>
      </c>
      <c r="J222">
        <v>35169</v>
      </c>
      <c r="K222">
        <v>7422</v>
      </c>
      <c r="L222">
        <v>5944</v>
      </c>
      <c r="M222">
        <v>3862</v>
      </c>
      <c r="N222">
        <v>3725</v>
      </c>
      <c r="O222">
        <v>2528</v>
      </c>
      <c r="P222">
        <v>1867</v>
      </c>
      <c r="Q222">
        <v>1768</v>
      </c>
      <c r="R222">
        <v>1619</v>
      </c>
      <c r="S222">
        <v>1576</v>
      </c>
      <c r="T222">
        <v>1356</v>
      </c>
      <c r="U222">
        <v>1352</v>
      </c>
      <c r="V222">
        <v>981</v>
      </c>
      <c r="W222">
        <v>740</v>
      </c>
      <c r="X222">
        <v>0</v>
      </c>
      <c r="Y222">
        <v>598</v>
      </c>
      <c r="Z222">
        <v>579</v>
      </c>
      <c r="AA222">
        <v>554</v>
      </c>
      <c r="AB222">
        <v>517</v>
      </c>
      <c r="AC222">
        <v>477</v>
      </c>
      <c r="AD222">
        <v>400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1316077</v>
      </c>
    </row>
    <row r="223" spans="1:51" hidden="1" x14ac:dyDescent="0.2">
      <c r="A223" t="s">
        <v>12</v>
      </c>
      <c r="C223">
        <v>221</v>
      </c>
      <c r="D223">
        <v>9</v>
      </c>
      <c r="E223" t="s">
        <v>307</v>
      </c>
      <c r="F223">
        <v>2014</v>
      </c>
      <c r="H223">
        <v>649354</v>
      </c>
      <c r="I223">
        <v>391475</v>
      </c>
      <c r="J223">
        <v>31222</v>
      </c>
      <c r="K223">
        <v>25930</v>
      </c>
      <c r="L223">
        <v>22141</v>
      </c>
      <c r="M223">
        <v>8553</v>
      </c>
      <c r="N223">
        <v>8544</v>
      </c>
      <c r="O223">
        <v>8266</v>
      </c>
      <c r="P223">
        <v>7040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1152525</v>
      </c>
    </row>
    <row r="224" spans="1:51" hidden="1" x14ac:dyDescent="0.2">
      <c r="A224" t="s">
        <v>12</v>
      </c>
      <c r="C224">
        <v>222</v>
      </c>
      <c r="D224">
        <v>15</v>
      </c>
      <c r="E224" t="s">
        <v>308</v>
      </c>
      <c r="F224">
        <v>2014</v>
      </c>
      <c r="H224">
        <v>717357</v>
      </c>
      <c r="I224">
        <v>457643</v>
      </c>
      <c r="J224">
        <v>17149</v>
      </c>
      <c r="K224">
        <v>16799</v>
      </c>
      <c r="L224">
        <v>13691</v>
      </c>
      <c r="M224">
        <v>12036</v>
      </c>
      <c r="N224">
        <v>6226</v>
      </c>
      <c r="O224">
        <v>5307</v>
      </c>
      <c r="P224">
        <v>2429</v>
      </c>
      <c r="Q224">
        <v>2255</v>
      </c>
      <c r="R224">
        <v>1783</v>
      </c>
      <c r="S224">
        <v>1235</v>
      </c>
      <c r="T224">
        <v>1208</v>
      </c>
      <c r="U224">
        <v>1134</v>
      </c>
      <c r="V224">
        <v>1075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1257327</v>
      </c>
    </row>
    <row r="225" spans="1:51" hidden="1" x14ac:dyDescent="0.2">
      <c r="A225" t="s">
        <v>12</v>
      </c>
      <c r="C225">
        <v>223</v>
      </c>
      <c r="D225">
        <v>9</v>
      </c>
      <c r="E225" t="s">
        <v>309</v>
      </c>
      <c r="F225">
        <v>2014</v>
      </c>
      <c r="H225">
        <v>643651</v>
      </c>
      <c r="I225">
        <v>315037</v>
      </c>
      <c r="J225">
        <v>26726</v>
      </c>
      <c r="K225">
        <v>20627</v>
      </c>
      <c r="L225">
        <v>16461</v>
      </c>
      <c r="M225">
        <v>12933</v>
      </c>
      <c r="N225">
        <v>4668</v>
      </c>
      <c r="O225">
        <v>4546</v>
      </c>
      <c r="P225">
        <v>3070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1047719</v>
      </c>
    </row>
    <row r="226" spans="1:51" hidden="1" x14ac:dyDescent="0.2">
      <c r="A226" t="s">
        <v>13</v>
      </c>
      <c r="C226">
        <v>224</v>
      </c>
      <c r="D226">
        <v>10</v>
      </c>
      <c r="E226" t="s">
        <v>310</v>
      </c>
      <c r="F226">
        <v>2014</v>
      </c>
      <c r="H226">
        <v>579486</v>
      </c>
      <c r="I226">
        <v>472581</v>
      </c>
      <c r="J226">
        <v>21178</v>
      </c>
      <c r="K226">
        <v>12133</v>
      </c>
      <c r="L226">
        <v>9184</v>
      </c>
      <c r="M226">
        <v>6004</v>
      </c>
      <c r="N226">
        <v>4712</v>
      </c>
      <c r="O226">
        <v>4389</v>
      </c>
      <c r="P226">
        <v>3511</v>
      </c>
      <c r="Q226">
        <v>3498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1116676</v>
      </c>
    </row>
    <row r="227" spans="1:51" hidden="1" x14ac:dyDescent="0.2">
      <c r="A227" t="s">
        <v>13</v>
      </c>
      <c r="C227">
        <v>225</v>
      </c>
      <c r="D227">
        <v>20</v>
      </c>
      <c r="E227" t="s">
        <v>311</v>
      </c>
      <c r="F227">
        <v>2014</v>
      </c>
      <c r="H227">
        <v>529450</v>
      </c>
      <c r="I227">
        <v>398727</v>
      </c>
      <c r="J227">
        <v>9897</v>
      </c>
      <c r="K227">
        <v>9339</v>
      </c>
      <c r="L227">
        <v>8057</v>
      </c>
      <c r="M227">
        <v>6117</v>
      </c>
      <c r="N227">
        <v>5278</v>
      </c>
      <c r="O227">
        <v>2503</v>
      </c>
      <c r="P227">
        <v>2091</v>
      </c>
      <c r="Q227">
        <v>1600</v>
      </c>
      <c r="R227">
        <v>1545</v>
      </c>
      <c r="S227">
        <v>1355</v>
      </c>
      <c r="T227">
        <v>1149</v>
      </c>
      <c r="U227">
        <v>1148</v>
      </c>
      <c r="V227">
        <v>914</v>
      </c>
      <c r="W227">
        <v>828</v>
      </c>
      <c r="X227">
        <v>792</v>
      </c>
      <c r="Y227">
        <v>788</v>
      </c>
      <c r="Z227">
        <v>765</v>
      </c>
      <c r="AA227">
        <v>740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983083</v>
      </c>
    </row>
    <row r="228" spans="1:51" hidden="1" x14ac:dyDescent="0.2">
      <c r="A228" t="s">
        <v>13</v>
      </c>
      <c r="C228">
        <v>226</v>
      </c>
      <c r="D228">
        <v>21</v>
      </c>
      <c r="E228" t="s">
        <v>312</v>
      </c>
      <c r="F228">
        <v>2014</v>
      </c>
      <c r="H228">
        <v>647773</v>
      </c>
      <c r="I228">
        <v>264248</v>
      </c>
      <c r="J228">
        <v>10838</v>
      </c>
      <c r="K228">
        <v>9614</v>
      </c>
      <c r="L228">
        <v>8140</v>
      </c>
      <c r="M228">
        <v>7390</v>
      </c>
      <c r="N228">
        <v>6157</v>
      </c>
      <c r="O228">
        <v>5801</v>
      </c>
      <c r="P228">
        <v>3998</v>
      </c>
      <c r="Q228">
        <v>3268</v>
      </c>
      <c r="R228">
        <v>3212</v>
      </c>
      <c r="S228">
        <v>2879</v>
      </c>
      <c r="T228">
        <v>2718</v>
      </c>
      <c r="U228">
        <v>2675</v>
      </c>
      <c r="V228">
        <v>2246</v>
      </c>
      <c r="W228">
        <v>1917</v>
      </c>
      <c r="X228">
        <v>1708</v>
      </c>
      <c r="Y228">
        <v>1676</v>
      </c>
      <c r="Z228">
        <v>1579</v>
      </c>
      <c r="AA228">
        <v>1537</v>
      </c>
      <c r="AB228">
        <v>958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990332</v>
      </c>
    </row>
    <row r="229" spans="1:51" hidden="1" x14ac:dyDescent="0.2">
      <c r="A229" t="s">
        <v>13</v>
      </c>
      <c r="C229">
        <v>227</v>
      </c>
      <c r="D229">
        <v>24</v>
      </c>
      <c r="E229" t="s">
        <v>313</v>
      </c>
      <c r="F229">
        <v>2014</v>
      </c>
      <c r="H229">
        <v>605452</v>
      </c>
      <c r="I229">
        <v>287384</v>
      </c>
      <c r="J229">
        <v>29752</v>
      </c>
      <c r="K229">
        <v>21332</v>
      </c>
      <c r="L229">
        <v>14599</v>
      </c>
      <c r="M229">
        <v>8797</v>
      </c>
      <c r="N229">
        <v>4376</v>
      </c>
      <c r="O229">
        <v>4212</v>
      </c>
      <c r="P229">
        <v>4009</v>
      </c>
      <c r="Q229">
        <v>3756</v>
      </c>
      <c r="R229">
        <v>3707</v>
      </c>
      <c r="S229">
        <v>3349</v>
      </c>
      <c r="T229">
        <v>2844</v>
      </c>
      <c r="U229">
        <v>2658</v>
      </c>
      <c r="V229">
        <v>1757</v>
      </c>
      <c r="W229">
        <v>1634</v>
      </c>
      <c r="X229">
        <v>1606</v>
      </c>
      <c r="Y229">
        <v>1375</v>
      </c>
      <c r="Z229">
        <v>1258</v>
      </c>
      <c r="AA229">
        <v>1220</v>
      </c>
      <c r="AB229">
        <v>1206</v>
      </c>
      <c r="AC229">
        <v>1131</v>
      </c>
      <c r="AD229">
        <v>978</v>
      </c>
      <c r="AE229">
        <v>821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1009213</v>
      </c>
    </row>
    <row r="230" spans="1:51" hidden="1" x14ac:dyDescent="0.2">
      <c r="A230" t="s">
        <v>13</v>
      </c>
      <c r="C230">
        <v>228</v>
      </c>
      <c r="D230">
        <v>18</v>
      </c>
      <c r="E230" t="s">
        <v>314</v>
      </c>
      <c r="F230">
        <v>2014</v>
      </c>
      <c r="H230">
        <v>509145</v>
      </c>
      <c r="I230">
        <v>349566</v>
      </c>
      <c r="J230">
        <v>33783</v>
      </c>
      <c r="K230">
        <v>29793</v>
      </c>
      <c r="L230">
        <v>10546</v>
      </c>
      <c r="M230">
        <v>7927</v>
      </c>
      <c r="N230">
        <v>6983</v>
      </c>
      <c r="O230">
        <v>6959</v>
      </c>
      <c r="P230">
        <v>4520</v>
      </c>
      <c r="Q230">
        <v>3429</v>
      </c>
      <c r="R230">
        <v>2750</v>
      </c>
      <c r="S230">
        <v>2448</v>
      </c>
      <c r="T230">
        <v>2077</v>
      </c>
      <c r="U230">
        <v>2006</v>
      </c>
      <c r="V230">
        <v>1917</v>
      </c>
      <c r="W230">
        <v>1787</v>
      </c>
      <c r="X230">
        <v>1725</v>
      </c>
      <c r="Y230">
        <v>1265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978626</v>
      </c>
    </row>
    <row r="231" spans="1:51" hidden="1" x14ac:dyDescent="0.2">
      <c r="A231" t="s">
        <v>13</v>
      </c>
      <c r="C231">
        <v>229</v>
      </c>
      <c r="D231">
        <v>8</v>
      </c>
      <c r="E231" t="s">
        <v>315</v>
      </c>
      <c r="F231">
        <v>2014</v>
      </c>
      <c r="H231">
        <v>456472</v>
      </c>
      <c r="I231">
        <v>253356</v>
      </c>
      <c r="J231">
        <v>238776</v>
      </c>
      <c r="K231">
        <v>8076</v>
      </c>
      <c r="L231">
        <v>7858</v>
      </c>
      <c r="M231">
        <v>6206</v>
      </c>
      <c r="N231">
        <v>3991</v>
      </c>
      <c r="O231">
        <v>3756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978491</v>
      </c>
    </row>
    <row r="232" spans="1:51" hidden="1" x14ac:dyDescent="0.2">
      <c r="A232" t="s">
        <v>13</v>
      </c>
      <c r="C232">
        <v>230</v>
      </c>
      <c r="D232">
        <v>20</v>
      </c>
      <c r="E232" t="s">
        <v>316</v>
      </c>
      <c r="F232">
        <v>2014</v>
      </c>
      <c r="H232">
        <v>467212</v>
      </c>
      <c r="I232">
        <v>329280</v>
      </c>
      <c r="J232">
        <v>98200</v>
      </c>
      <c r="K232">
        <v>54278</v>
      </c>
      <c r="L232">
        <v>10052</v>
      </c>
      <c r="M232">
        <v>7873</v>
      </c>
      <c r="N232">
        <v>6424</v>
      </c>
      <c r="O232">
        <v>5268</v>
      </c>
      <c r="P232">
        <v>4139</v>
      </c>
      <c r="Q232">
        <v>3732</v>
      </c>
      <c r="R232">
        <v>3724</v>
      </c>
      <c r="S232">
        <v>2489</v>
      </c>
      <c r="T232">
        <v>2011</v>
      </c>
      <c r="U232">
        <v>1734</v>
      </c>
      <c r="V232">
        <v>1649</v>
      </c>
      <c r="W232">
        <v>1463</v>
      </c>
      <c r="X232">
        <v>1442</v>
      </c>
      <c r="Y232">
        <v>1312</v>
      </c>
      <c r="Z232">
        <v>970</v>
      </c>
      <c r="AA232">
        <v>809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1004061</v>
      </c>
    </row>
    <row r="233" spans="1:51" hidden="1" x14ac:dyDescent="0.2">
      <c r="A233" t="s">
        <v>13</v>
      </c>
      <c r="C233">
        <v>231</v>
      </c>
      <c r="D233">
        <v>22</v>
      </c>
      <c r="E233" t="s">
        <v>317</v>
      </c>
      <c r="F233">
        <v>2014</v>
      </c>
      <c r="H233">
        <v>537518</v>
      </c>
      <c r="I233">
        <v>321735</v>
      </c>
      <c r="J233">
        <v>90866</v>
      </c>
      <c r="K233">
        <v>15738</v>
      </c>
      <c r="L233">
        <v>6405</v>
      </c>
      <c r="M233">
        <v>5127</v>
      </c>
      <c r="N233">
        <v>4436</v>
      </c>
      <c r="O233">
        <v>3881</v>
      </c>
      <c r="P233">
        <v>3440</v>
      </c>
      <c r="Q233">
        <v>3343</v>
      </c>
      <c r="R233">
        <v>3156</v>
      </c>
      <c r="S233">
        <v>2638</v>
      </c>
      <c r="T233">
        <v>2627</v>
      </c>
      <c r="U233">
        <v>2518</v>
      </c>
      <c r="V233">
        <v>2124</v>
      </c>
      <c r="W233">
        <v>1858</v>
      </c>
      <c r="X233">
        <v>1431</v>
      </c>
      <c r="Y233">
        <v>1245</v>
      </c>
      <c r="Z233">
        <v>1122</v>
      </c>
      <c r="AA233">
        <v>853</v>
      </c>
      <c r="AB233">
        <v>770</v>
      </c>
      <c r="AC233">
        <v>614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1013445</v>
      </c>
    </row>
    <row r="234" spans="1:51" hidden="1" x14ac:dyDescent="0.2">
      <c r="A234" t="s">
        <v>13</v>
      </c>
      <c r="C234">
        <v>232</v>
      </c>
      <c r="D234">
        <v>24</v>
      </c>
      <c r="E234" t="s">
        <v>318</v>
      </c>
      <c r="F234">
        <v>2014</v>
      </c>
      <c r="H234">
        <v>519892</v>
      </c>
      <c r="I234">
        <v>344101</v>
      </c>
      <c r="J234">
        <v>95051</v>
      </c>
      <c r="K234">
        <v>25889</v>
      </c>
      <c r="L234">
        <v>6353</v>
      </c>
      <c r="M234">
        <v>6304</v>
      </c>
      <c r="N234">
        <v>6222</v>
      </c>
      <c r="O234">
        <v>4816</v>
      </c>
      <c r="P234">
        <v>4756</v>
      </c>
      <c r="Q234">
        <v>3999</v>
      </c>
      <c r="R234">
        <v>3634</v>
      </c>
      <c r="S234">
        <v>3419</v>
      </c>
      <c r="T234">
        <v>2925</v>
      </c>
      <c r="U234">
        <v>2841</v>
      </c>
      <c r="V234">
        <v>2682</v>
      </c>
      <c r="W234">
        <v>2640</v>
      </c>
      <c r="X234">
        <v>2537</v>
      </c>
      <c r="Y234">
        <v>2424</v>
      </c>
      <c r="Z234">
        <v>2310</v>
      </c>
      <c r="AA234">
        <v>1735</v>
      </c>
      <c r="AB234">
        <v>1602</v>
      </c>
      <c r="AC234">
        <v>1542</v>
      </c>
      <c r="AD234">
        <v>1453</v>
      </c>
      <c r="AE234">
        <v>1189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1050316</v>
      </c>
    </row>
    <row r="235" spans="1:51" hidden="1" x14ac:dyDescent="0.2">
      <c r="A235" t="s">
        <v>13</v>
      </c>
      <c r="C235">
        <v>233</v>
      </c>
      <c r="D235">
        <v>33</v>
      </c>
      <c r="E235" t="s">
        <v>319</v>
      </c>
      <c r="F235">
        <v>2014</v>
      </c>
      <c r="H235">
        <v>587767</v>
      </c>
      <c r="I235">
        <v>302919</v>
      </c>
      <c r="J235">
        <v>96433</v>
      </c>
      <c r="K235">
        <v>69081</v>
      </c>
      <c r="L235">
        <v>3460</v>
      </c>
      <c r="M235">
        <v>2408</v>
      </c>
      <c r="N235">
        <v>2269</v>
      </c>
      <c r="O235">
        <v>2017</v>
      </c>
      <c r="P235">
        <v>1880</v>
      </c>
      <c r="Q235">
        <v>1366</v>
      </c>
      <c r="R235">
        <v>1262</v>
      </c>
      <c r="S235">
        <v>1187</v>
      </c>
      <c r="T235">
        <v>1077</v>
      </c>
      <c r="U235">
        <v>836</v>
      </c>
      <c r="V235">
        <v>807</v>
      </c>
      <c r="W235">
        <v>784</v>
      </c>
      <c r="X235">
        <v>760</v>
      </c>
      <c r="Y235">
        <v>677</v>
      </c>
      <c r="Z235">
        <v>665</v>
      </c>
      <c r="AA235">
        <v>660</v>
      </c>
      <c r="AB235">
        <v>655</v>
      </c>
      <c r="AC235">
        <v>542</v>
      </c>
      <c r="AD235">
        <v>0</v>
      </c>
      <c r="AE235">
        <v>539</v>
      </c>
      <c r="AF235">
        <v>537</v>
      </c>
      <c r="AG235">
        <v>528</v>
      </c>
      <c r="AH235">
        <v>466</v>
      </c>
      <c r="AI235">
        <v>452</v>
      </c>
      <c r="AJ235">
        <v>439</v>
      </c>
      <c r="AK235">
        <v>426</v>
      </c>
      <c r="AL235">
        <v>419</v>
      </c>
      <c r="AM235">
        <v>415</v>
      </c>
      <c r="AN235">
        <v>390</v>
      </c>
      <c r="AO235">
        <v>373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1084496</v>
      </c>
    </row>
    <row r="236" spans="1:51" hidden="1" x14ac:dyDescent="0.2">
      <c r="A236" t="s">
        <v>13</v>
      </c>
      <c r="C236">
        <v>234</v>
      </c>
      <c r="D236">
        <v>27</v>
      </c>
      <c r="E236" t="s">
        <v>320</v>
      </c>
      <c r="F236">
        <v>2014</v>
      </c>
      <c r="H236">
        <v>606129</v>
      </c>
      <c r="I236">
        <v>456875</v>
      </c>
      <c r="J236">
        <v>50958</v>
      </c>
      <c r="K236">
        <v>10133</v>
      </c>
      <c r="L236">
        <v>10127</v>
      </c>
      <c r="M236">
        <v>9736</v>
      </c>
      <c r="N236">
        <v>8647</v>
      </c>
      <c r="O236">
        <v>6128</v>
      </c>
      <c r="P236">
        <v>5941</v>
      </c>
      <c r="Q236">
        <v>4417</v>
      </c>
      <c r="R236">
        <v>4169</v>
      </c>
      <c r="S236">
        <v>4032</v>
      </c>
      <c r="T236">
        <v>1955</v>
      </c>
      <c r="U236">
        <v>1876</v>
      </c>
      <c r="V236">
        <v>1729</v>
      </c>
      <c r="W236">
        <v>1578</v>
      </c>
      <c r="X236">
        <v>1544</v>
      </c>
      <c r="Y236">
        <v>1542</v>
      </c>
      <c r="Z236">
        <v>1477</v>
      </c>
      <c r="AA236">
        <v>1429</v>
      </c>
      <c r="AB236">
        <v>1380</v>
      </c>
      <c r="AC236">
        <v>1260</v>
      </c>
      <c r="AD236">
        <v>1077</v>
      </c>
      <c r="AE236">
        <v>987</v>
      </c>
      <c r="AF236">
        <v>899</v>
      </c>
      <c r="AG236">
        <v>594</v>
      </c>
      <c r="AH236">
        <v>577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1197196</v>
      </c>
    </row>
    <row r="237" spans="1:51" hidden="1" x14ac:dyDescent="0.2">
      <c r="A237" t="s">
        <v>13</v>
      </c>
      <c r="C237">
        <v>235</v>
      </c>
      <c r="D237">
        <v>12</v>
      </c>
      <c r="E237" t="s">
        <v>321</v>
      </c>
      <c r="F237">
        <v>2014</v>
      </c>
      <c r="H237">
        <v>535982</v>
      </c>
      <c r="I237">
        <v>299112</v>
      </c>
      <c r="J237">
        <v>66906</v>
      </c>
      <c r="K237">
        <v>45458</v>
      </c>
      <c r="L237">
        <v>24488</v>
      </c>
      <c r="M237">
        <v>22512</v>
      </c>
      <c r="N237">
        <v>8156</v>
      </c>
      <c r="O237">
        <v>6606</v>
      </c>
      <c r="P237">
        <v>6470</v>
      </c>
      <c r="Q237">
        <v>4287</v>
      </c>
      <c r="R237">
        <v>3730</v>
      </c>
      <c r="S237">
        <v>3422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1027129</v>
      </c>
    </row>
    <row r="238" spans="1:51" hidden="1" x14ac:dyDescent="0.2">
      <c r="A238" t="s">
        <v>13</v>
      </c>
      <c r="C238">
        <v>236</v>
      </c>
      <c r="D238">
        <v>19</v>
      </c>
      <c r="E238" t="s">
        <v>322</v>
      </c>
      <c r="F238">
        <v>2014</v>
      </c>
      <c r="H238">
        <v>508049</v>
      </c>
      <c r="I238">
        <v>271780</v>
      </c>
      <c r="J238">
        <v>204413</v>
      </c>
      <c r="K238">
        <v>49229</v>
      </c>
      <c r="L238">
        <v>10930</v>
      </c>
      <c r="M238">
        <v>8936</v>
      </c>
      <c r="N238">
        <v>8302</v>
      </c>
      <c r="O238">
        <v>8257</v>
      </c>
      <c r="P238">
        <v>5829</v>
      </c>
      <c r="Q238">
        <v>4850</v>
      </c>
      <c r="R238">
        <v>4341</v>
      </c>
      <c r="S238">
        <v>4176</v>
      </c>
      <c r="T238">
        <v>3879</v>
      </c>
      <c r="U238">
        <v>3772</v>
      </c>
      <c r="V238">
        <v>3216</v>
      </c>
      <c r="W238">
        <v>2736</v>
      </c>
      <c r="X238">
        <v>2693</v>
      </c>
      <c r="Y238">
        <v>2188</v>
      </c>
      <c r="Z238">
        <v>2167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1109743</v>
      </c>
    </row>
    <row r="239" spans="1:51" hidden="1" x14ac:dyDescent="0.2">
      <c r="A239" t="s">
        <v>13</v>
      </c>
      <c r="C239">
        <v>237</v>
      </c>
      <c r="D239">
        <v>27</v>
      </c>
      <c r="E239" t="s">
        <v>323</v>
      </c>
      <c r="F239">
        <v>2014</v>
      </c>
      <c r="H239">
        <v>477905</v>
      </c>
      <c r="I239">
        <v>384089</v>
      </c>
      <c r="J239">
        <v>48981</v>
      </c>
      <c r="K239">
        <v>26194</v>
      </c>
      <c r="L239">
        <v>22143</v>
      </c>
      <c r="M239">
        <v>7482</v>
      </c>
      <c r="N239">
        <v>7166</v>
      </c>
      <c r="O239">
        <v>6423</v>
      </c>
      <c r="P239">
        <v>5672</v>
      </c>
      <c r="Q239">
        <v>5583</v>
      </c>
      <c r="R239">
        <v>4708</v>
      </c>
      <c r="S239">
        <v>4627</v>
      </c>
      <c r="T239">
        <v>3602</v>
      </c>
      <c r="U239">
        <v>3422</v>
      </c>
      <c r="V239">
        <v>3262</v>
      </c>
      <c r="W239">
        <v>2514</v>
      </c>
      <c r="X239">
        <v>2484</v>
      </c>
      <c r="Y239">
        <v>2193</v>
      </c>
      <c r="Z239">
        <v>2177</v>
      </c>
      <c r="AA239">
        <v>2172</v>
      </c>
      <c r="AB239">
        <v>2130</v>
      </c>
      <c r="AC239">
        <v>1911</v>
      </c>
      <c r="AD239">
        <v>1558</v>
      </c>
      <c r="AE239">
        <v>1402</v>
      </c>
      <c r="AF239">
        <v>1218</v>
      </c>
      <c r="AG239">
        <v>1036</v>
      </c>
      <c r="AH239">
        <v>895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1032949</v>
      </c>
    </row>
    <row r="240" spans="1:51" hidden="1" x14ac:dyDescent="0.2">
      <c r="A240" t="s">
        <v>13</v>
      </c>
      <c r="C240">
        <v>238</v>
      </c>
      <c r="D240">
        <v>24</v>
      </c>
      <c r="E240" t="s">
        <v>324</v>
      </c>
      <c r="F240">
        <v>2014</v>
      </c>
      <c r="H240">
        <v>467397</v>
      </c>
      <c r="I240">
        <v>465765</v>
      </c>
      <c r="J240">
        <v>25145</v>
      </c>
      <c r="K240">
        <v>14986</v>
      </c>
      <c r="L240">
        <v>9770</v>
      </c>
      <c r="M240">
        <v>9577</v>
      </c>
      <c r="N240">
        <v>7878</v>
      </c>
      <c r="O240">
        <v>6284</v>
      </c>
      <c r="P240">
        <v>6157</v>
      </c>
      <c r="Q240">
        <v>5000</v>
      </c>
      <c r="R240">
        <v>3729</v>
      </c>
      <c r="S240">
        <v>3522</v>
      </c>
      <c r="T240">
        <v>3165</v>
      </c>
      <c r="U240">
        <v>3107</v>
      </c>
      <c r="V240">
        <v>2514</v>
      </c>
      <c r="W240">
        <v>2506</v>
      </c>
      <c r="X240">
        <v>2497</v>
      </c>
      <c r="Y240">
        <v>2154</v>
      </c>
      <c r="Z240">
        <v>2147</v>
      </c>
      <c r="AA240">
        <v>2049</v>
      </c>
      <c r="AB240">
        <v>1675</v>
      </c>
      <c r="AC240">
        <v>1526</v>
      </c>
      <c r="AD240">
        <v>1322</v>
      </c>
      <c r="AE240">
        <v>1292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1051164</v>
      </c>
    </row>
    <row r="241" spans="1:51" hidden="1" x14ac:dyDescent="0.2">
      <c r="A241" t="s">
        <v>13</v>
      </c>
      <c r="C241">
        <v>239</v>
      </c>
      <c r="D241">
        <v>24</v>
      </c>
      <c r="E241" t="s">
        <v>325</v>
      </c>
      <c r="F241">
        <v>2014</v>
      </c>
      <c r="H241">
        <v>493075</v>
      </c>
      <c r="I241">
        <v>411620</v>
      </c>
      <c r="J241">
        <v>28447</v>
      </c>
      <c r="K241">
        <v>22809</v>
      </c>
      <c r="L241">
        <v>8088</v>
      </c>
      <c r="M241">
        <v>5825</v>
      </c>
      <c r="N241">
        <v>5694</v>
      </c>
      <c r="O241">
        <v>4771</v>
      </c>
      <c r="P241">
        <v>4206</v>
      </c>
      <c r="Q241">
        <v>3397</v>
      </c>
      <c r="R241">
        <v>3155</v>
      </c>
      <c r="S241">
        <v>3067</v>
      </c>
      <c r="T241">
        <v>2882</v>
      </c>
      <c r="U241">
        <v>1993</v>
      </c>
      <c r="V241">
        <v>1753</v>
      </c>
      <c r="W241">
        <v>1724</v>
      </c>
      <c r="X241">
        <v>1667</v>
      </c>
      <c r="Y241">
        <v>1547</v>
      </c>
      <c r="Z241">
        <v>1479</v>
      </c>
      <c r="AA241">
        <v>1473</v>
      </c>
      <c r="AB241">
        <v>1288</v>
      </c>
      <c r="AC241">
        <v>1285</v>
      </c>
      <c r="AD241">
        <v>1065</v>
      </c>
      <c r="AE241">
        <v>1040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1013350</v>
      </c>
    </row>
    <row r="242" spans="1:51" hidden="1" x14ac:dyDescent="0.2">
      <c r="A242" t="s">
        <v>13</v>
      </c>
      <c r="C242">
        <v>240</v>
      </c>
      <c r="D242">
        <v>18</v>
      </c>
      <c r="E242" t="s">
        <v>326</v>
      </c>
      <c r="F242">
        <v>2014</v>
      </c>
      <c r="H242">
        <v>578455</v>
      </c>
      <c r="I242">
        <v>451300</v>
      </c>
      <c r="J242">
        <v>33716</v>
      </c>
      <c r="K242">
        <v>17502</v>
      </c>
      <c r="L242">
        <v>12404</v>
      </c>
      <c r="M242">
        <v>12341</v>
      </c>
      <c r="N242">
        <v>8006</v>
      </c>
      <c r="O242">
        <v>7251</v>
      </c>
      <c r="P242">
        <v>6154</v>
      </c>
      <c r="Q242">
        <v>5836</v>
      </c>
      <c r="R242">
        <v>5507</v>
      </c>
      <c r="S242">
        <v>4781</v>
      </c>
      <c r="T242">
        <v>4449</v>
      </c>
      <c r="U242">
        <v>4103</v>
      </c>
      <c r="V242">
        <v>3120</v>
      </c>
      <c r="W242">
        <v>2947</v>
      </c>
      <c r="X242">
        <v>2492</v>
      </c>
      <c r="Y242">
        <v>1869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1162233</v>
      </c>
    </row>
    <row r="243" spans="1:51" hidden="1" x14ac:dyDescent="0.2">
      <c r="A243" t="s">
        <v>13</v>
      </c>
      <c r="C243">
        <v>241</v>
      </c>
      <c r="D243">
        <v>23</v>
      </c>
      <c r="E243" t="s">
        <v>327</v>
      </c>
      <c r="F243">
        <v>2014</v>
      </c>
      <c r="H243">
        <v>591428</v>
      </c>
      <c r="I243">
        <v>384630</v>
      </c>
      <c r="J243">
        <v>23719</v>
      </c>
      <c r="K243">
        <v>7704</v>
      </c>
      <c r="L243">
        <v>6953</v>
      </c>
      <c r="M243">
        <v>6547</v>
      </c>
      <c r="N243">
        <v>4622</v>
      </c>
      <c r="O243">
        <v>4587</v>
      </c>
      <c r="P243">
        <v>4237</v>
      </c>
      <c r="Q243">
        <v>4128</v>
      </c>
      <c r="R243">
        <v>3469</v>
      </c>
      <c r="S243">
        <v>3283</v>
      </c>
      <c r="T243">
        <v>2874</v>
      </c>
      <c r="U243">
        <v>2467</v>
      </c>
      <c r="V243">
        <v>2462</v>
      </c>
      <c r="W243">
        <v>2240</v>
      </c>
      <c r="X243">
        <v>1967</v>
      </c>
      <c r="Y243">
        <v>1894</v>
      </c>
      <c r="Z243">
        <v>1821</v>
      </c>
      <c r="AA243">
        <v>1655</v>
      </c>
      <c r="AB243">
        <v>1342</v>
      </c>
      <c r="AC243">
        <v>1120</v>
      </c>
      <c r="AD243">
        <v>1110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1066259</v>
      </c>
    </row>
    <row r="244" spans="1:51" hidden="1" x14ac:dyDescent="0.2">
      <c r="A244" t="s">
        <v>13</v>
      </c>
      <c r="C244">
        <v>242</v>
      </c>
      <c r="D244">
        <v>28</v>
      </c>
      <c r="E244" t="s">
        <v>182</v>
      </c>
      <c r="F244">
        <v>2014</v>
      </c>
      <c r="H244">
        <v>520902</v>
      </c>
      <c r="I244">
        <v>358902</v>
      </c>
      <c r="J244">
        <v>37419</v>
      </c>
      <c r="K244">
        <v>11974</v>
      </c>
      <c r="L244">
        <v>6372</v>
      </c>
      <c r="M244">
        <v>6135</v>
      </c>
      <c r="N244">
        <v>5901</v>
      </c>
      <c r="O244">
        <v>3775</v>
      </c>
      <c r="P244">
        <v>2922</v>
      </c>
      <c r="Q244">
        <v>2885</v>
      </c>
      <c r="R244">
        <v>2646</v>
      </c>
      <c r="S244">
        <v>2520</v>
      </c>
      <c r="T244">
        <v>2123</v>
      </c>
      <c r="U244">
        <v>2019</v>
      </c>
      <c r="V244">
        <v>1795</v>
      </c>
      <c r="W244">
        <v>1581</v>
      </c>
      <c r="X244">
        <v>1572</v>
      </c>
      <c r="Y244">
        <v>1530</v>
      </c>
      <c r="Z244">
        <v>1306</v>
      </c>
      <c r="AA244">
        <v>1238</v>
      </c>
      <c r="AB244">
        <v>1201</v>
      </c>
      <c r="AC244">
        <v>1038</v>
      </c>
      <c r="AD244">
        <v>978</v>
      </c>
      <c r="AE244">
        <v>934</v>
      </c>
      <c r="AF244">
        <v>893</v>
      </c>
      <c r="AG244">
        <v>880</v>
      </c>
      <c r="AH244">
        <v>878</v>
      </c>
      <c r="AI244">
        <v>614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982933</v>
      </c>
    </row>
    <row r="245" spans="1:51" hidden="1" x14ac:dyDescent="0.2">
      <c r="A245" t="s">
        <v>13</v>
      </c>
      <c r="C245">
        <v>243</v>
      </c>
      <c r="D245">
        <v>11</v>
      </c>
      <c r="E245" t="s">
        <v>328</v>
      </c>
      <c r="F245">
        <v>2014</v>
      </c>
      <c r="H245">
        <v>542784</v>
      </c>
      <c r="I245">
        <v>295165</v>
      </c>
      <c r="J245">
        <v>72599</v>
      </c>
      <c r="K245">
        <v>17724</v>
      </c>
      <c r="L245">
        <v>10897</v>
      </c>
      <c r="M245">
        <v>10267</v>
      </c>
      <c r="N245">
        <v>5578</v>
      </c>
      <c r="O245">
        <v>5177</v>
      </c>
      <c r="P245">
        <v>4067</v>
      </c>
      <c r="Q245">
        <v>3900</v>
      </c>
      <c r="R245">
        <v>2024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970182</v>
      </c>
    </row>
    <row r="246" spans="1:51" hidden="1" x14ac:dyDescent="0.2">
      <c r="A246" t="s">
        <v>13</v>
      </c>
      <c r="C246">
        <v>244</v>
      </c>
      <c r="D246">
        <v>16</v>
      </c>
      <c r="E246" t="s">
        <v>329</v>
      </c>
      <c r="F246">
        <v>2014</v>
      </c>
      <c r="H246">
        <v>494735</v>
      </c>
      <c r="I246">
        <v>307399</v>
      </c>
      <c r="J246">
        <v>63050</v>
      </c>
      <c r="K246">
        <v>20896</v>
      </c>
      <c r="L246">
        <v>17154</v>
      </c>
      <c r="M246">
        <v>9672</v>
      </c>
      <c r="N246">
        <v>8916</v>
      </c>
      <c r="O246">
        <v>3792</v>
      </c>
      <c r="P246">
        <v>3425</v>
      </c>
      <c r="Q246">
        <v>1666</v>
      </c>
      <c r="R246">
        <v>1580</v>
      </c>
      <c r="S246">
        <v>1253</v>
      </c>
      <c r="T246">
        <v>1204</v>
      </c>
      <c r="U246">
        <v>1121</v>
      </c>
      <c r="V246">
        <v>845</v>
      </c>
      <c r="W246">
        <v>697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937405</v>
      </c>
    </row>
    <row r="247" spans="1:51" hidden="1" x14ac:dyDescent="0.2">
      <c r="A247" t="s">
        <v>13</v>
      </c>
      <c r="C247">
        <v>245</v>
      </c>
      <c r="D247">
        <v>11</v>
      </c>
      <c r="E247" t="s">
        <v>330</v>
      </c>
      <c r="F247">
        <v>2014</v>
      </c>
      <c r="H247">
        <v>533201</v>
      </c>
      <c r="I247">
        <v>293681</v>
      </c>
      <c r="J247">
        <v>76890</v>
      </c>
      <c r="K247">
        <v>21797</v>
      </c>
      <c r="L247">
        <v>16182</v>
      </c>
      <c r="M247">
        <v>12974</v>
      </c>
      <c r="N247">
        <v>10742</v>
      </c>
      <c r="O247">
        <v>8176</v>
      </c>
      <c r="P247">
        <v>7957</v>
      </c>
      <c r="Q247">
        <v>6691</v>
      </c>
      <c r="R247">
        <v>4327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992618</v>
      </c>
    </row>
    <row r="248" spans="1:51" hidden="1" x14ac:dyDescent="0.2">
      <c r="A248" t="s">
        <v>13</v>
      </c>
      <c r="C248">
        <v>246</v>
      </c>
      <c r="D248">
        <v>14</v>
      </c>
      <c r="E248" t="s">
        <v>331</v>
      </c>
      <c r="F248">
        <v>2014</v>
      </c>
      <c r="H248">
        <v>411070</v>
      </c>
      <c r="I248">
        <v>301620</v>
      </c>
      <c r="J248">
        <v>93647</v>
      </c>
      <c r="K248">
        <v>14068</v>
      </c>
      <c r="L248">
        <v>13720</v>
      </c>
      <c r="M248">
        <v>11055</v>
      </c>
      <c r="N248">
        <v>9311</v>
      </c>
      <c r="O248">
        <v>5941</v>
      </c>
      <c r="P248">
        <v>4058</v>
      </c>
      <c r="Q248">
        <v>3058</v>
      </c>
      <c r="R248">
        <v>2435</v>
      </c>
      <c r="S248">
        <v>2126</v>
      </c>
      <c r="T248">
        <v>2120</v>
      </c>
      <c r="U248">
        <v>1376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875605</v>
      </c>
    </row>
    <row r="249" spans="1:51" hidden="1" x14ac:dyDescent="0.2">
      <c r="A249" t="s">
        <v>13</v>
      </c>
      <c r="C249">
        <v>247</v>
      </c>
      <c r="D249">
        <v>19</v>
      </c>
      <c r="E249" t="s">
        <v>332</v>
      </c>
      <c r="F249">
        <v>2014</v>
      </c>
      <c r="H249">
        <v>440892</v>
      </c>
      <c r="I249">
        <v>190143</v>
      </c>
      <c r="J249">
        <v>122349</v>
      </c>
      <c r="K249">
        <v>20347</v>
      </c>
      <c r="L249">
        <v>19643</v>
      </c>
      <c r="M249">
        <v>9185</v>
      </c>
      <c r="N249">
        <v>3531</v>
      </c>
      <c r="O249">
        <v>3047</v>
      </c>
      <c r="P249">
        <v>2467</v>
      </c>
      <c r="Q249">
        <v>2096</v>
      </c>
      <c r="R249">
        <v>1869</v>
      </c>
      <c r="S249">
        <v>1600</v>
      </c>
      <c r="T249">
        <v>1279</v>
      </c>
      <c r="U249">
        <v>1243</v>
      </c>
      <c r="V249">
        <v>1229</v>
      </c>
      <c r="W249">
        <v>1222</v>
      </c>
      <c r="X249">
        <v>788</v>
      </c>
      <c r="Y249">
        <v>726</v>
      </c>
      <c r="Z249">
        <v>540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824196</v>
      </c>
    </row>
    <row r="250" spans="1:51" hidden="1" x14ac:dyDescent="0.2">
      <c r="A250" t="s">
        <v>13</v>
      </c>
      <c r="C250">
        <v>248</v>
      </c>
      <c r="D250">
        <v>27</v>
      </c>
      <c r="E250" t="s">
        <v>333</v>
      </c>
      <c r="F250">
        <v>2014</v>
      </c>
      <c r="H250">
        <v>595364</v>
      </c>
      <c r="I250">
        <v>314065</v>
      </c>
      <c r="J250">
        <v>48863</v>
      </c>
      <c r="K250">
        <v>41535</v>
      </c>
      <c r="L250">
        <v>13174</v>
      </c>
      <c r="M250">
        <v>10982</v>
      </c>
      <c r="N250">
        <v>4022</v>
      </c>
      <c r="O250">
        <v>2479</v>
      </c>
      <c r="P250">
        <v>2412</v>
      </c>
      <c r="Q250">
        <v>2175</v>
      </c>
      <c r="R250">
        <v>2141</v>
      </c>
      <c r="S250">
        <v>1891</v>
      </c>
      <c r="T250">
        <v>1865</v>
      </c>
      <c r="U250">
        <v>1681</v>
      </c>
      <c r="V250">
        <v>1549</v>
      </c>
      <c r="W250">
        <v>1402</v>
      </c>
      <c r="X250">
        <v>1196</v>
      </c>
      <c r="Y250">
        <v>1066</v>
      </c>
      <c r="Z250">
        <v>918</v>
      </c>
      <c r="AA250">
        <v>905</v>
      </c>
      <c r="AB250">
        <v>891</v>
      </c>
      <c r="AC250">
        <v>705</v>
      </c>
      <c r="AD250">
        <v>650</v>
      </c>
      <c r="AE250">
        <v>641</v>
      </c>
      <c r="AF250">
        <v>636</v>
      </c>
      <c r="AG250">
        <v>493</v>
      </c>
      <c r="AH250">
        <v>488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1054189</v>
      </c>
    </row>
    <row r="251" spans="1:51" hidden="1" x14ac:dyDescent="0.2">
      <c r="A251" t="s">
        <v>13</v>
      </c>
      <c r="C251">
        <v>249</v>
      </c>
      <c r="D251">
        <v>22</v>
      </c>
      <c r="E251" t="s">
        <v>334</v>
      </c>
      <c r="F251">
        <v>2014</v>
      </c>
      <c r="H251">
        <v>664004</v>
      </c>
      <c r="I251">
        <v>217422</v>
      </c>
      <c r="J251">
        <v>32364</v>
      </c>
      <c r="K251">
        <v>8758</v>
      </c>
      <c r="L251">
        <v>5506</v>
      </c>
      <c r="M251">
        <v>5438</v>
      </c>
      <c r="N251">
        <v>2078</v>
      </c>
      <c r="O251">
        <v>1650</v>
      </c>
      <c r="P251">
        <v>1612</v>
      </c>
      <c r="Q251">
        <v>1539</v>
      </c>
      <c r="R251">
        <v>796</v>
      </c>
      <c r="S251">
        <v>768</v>
      </c>
      <c r="T251">
        <v>699</v>
      </c>
      <c r="U251">
        <v>653</v>
      </c>
      <c r="V251">
        <v>626</v>
      </c>
      <c r="W251">
        <v>556</v>
      </c>
      <c r="X251">
        <v>462</v>
      </c>
      <c r="Y251">
        <v>394</v>
      </c>
      <c r="Z251">
        <v>331</v>
      </c>
      <c r="AA251">
        <v>327</v>
      </c>
      <c r="AB251">
        <v>301</v>
      </c>
      <c r="AC251">
        <v>278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946562</v>
      </c>
    </row>
    <row r="252" spans="1:51" hidden="1" x14ac:dyDescent="0.2">
      <c r="A252" t="s">
        <v>13</v>
      </c>
      <c r="C252">
        <v>250</v>
      </c>
      <c r="D252">
        <v>15</v>
      </c>
      <c r="E252" t="s">
        <v>335</v>
      </c>
      <c r="F252">
        <v>2014</v>
      </c>
      <c r="H252">
        <v>464820</v>
      </c>
      <c r="I252">
        <v>281792</v>
      </c>
      <c r="J252">
        <v>66088</v>
      </c>
      <c r="K252">
        <v>51860</v>
      </c>
      <c r="L252">
        <v>11009</v>
      </c>
      <c r="M252">
        <v>10275</v>
      </c>
      <c r="N252">
        <v>2006</v>
      </c>
      <c r="O252">
        <v>1530</v>
      </c>
      <c r="P252">
        <v>1366</v>
      </c>
      <c r="Q252">
        <v>1082</v>
      </c>
      <c r="R252">
        <v>1078</v>
      </c>
      <c r="S252">
        <v>888</v>
      </c>
      <c r="T252">
        <v>694</v>
      </c>
      <c r="U252">
        <v>515</v>
      </c>
      <c r="V252">
        <v>514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895517</v>
      </c>
    </row>
    <row r="253" spans="1:51" hidden="1" x14ac:dyDescent="0.2">
      <c r="A253" t="s">
        <v>13</v>
      </c>
      <c r="C253">
        <v>251</v>
      </c>
      <c r="D253">
        <v>20</v>
      </c>
      <c r="E253" t="s">
        <v>336</v>
      </c>
      <c r="F253">
        <v>2014</v>
      </c>
      <c r="H253">
        <v>525285</v>
      </c>
      <c r="I253">
        <v>208163</v>
      </c>
      <c r="J253">
        <v>76451</v>
      </c>
      <c r="K253">
        <v>17427</v>
      </c>
      <c r="L253">
        <v>8833</v>
      </c>
      <c r="M253">
        <v>7114</v>
      </c>
      <c r="N253">
        <v>2784</v>
      </c>
      <c r="O253">
        <v>2752</v>
      </c>
      <c r="P253">
        <v>2243</v>
      </c>
      <c r="Q253">
        <v>1838</v>
      </c>
      <c r="R253">
        <v>1359</v>
      </c>
      <c r="S253">
        <v>1325</v>
      </c>
      <c r="T253">
        <v>1308</v>
      </c>
      <c r="U253">
        <v>1012</v>
      </c>
      <c r="V253">
        <v>902</v>
      </c>
      <c r="W253">
        <v>881</v>
      </c>
      <c r="X253">
        <v>626</v>
      </c>
      <c r="Y253">
        <v>621</v>
      </c>
      <c r="Z253">
        <v>468</v>
      </c>
      <c r="AA253">
        <v>369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861761</v>
      </c>
    </row>
    <row r="254" spans="1:51" hidden="1" x14ac:dyDescent="0.2">
      <c r="A254" t="s">
        <v>13</v>
      </c>
      <c r="C254">
        <v>252</v>
      </c>
      <c r="D254">
        <v>22</v>
      </c>
      <c r="E254" t="s">
        <v>337</v>
      </c>
      <c r="F254">
        <v>2014</v>
      </c>
      <c r="H254">
        <v>478535</v>
      </c>
      <c r="I254">
        <v>291764</v>
      </c>
      <c r="J254">
        <v>34824</v>
      </c>
      <c r="K254">
        <v>10128</v>
      </c>
      <c r="L254">
        <v>9873</v>
      </c>
      <c r="M254">
        <v>6937</v>
      </c>
      <c r="N254">
        <v>2099</v>
      </c>
      <c r="O254">
        <v>1380</v>
      </c>
      <c r="P254">
        <v>1261</v>
      </c>
      <c r="Q254">
        <v>1022</v>
      </c>
      <c r="R254">
        <v>872</v>
      </c>
      <c r="S254">
        <v>858</v>
      </c>
      <c r="T254">
        <v>787</v>
      </c>
      <c r="U254">
        <v>693</v>
      </c>
      <c r="V254">
        <v>657</v>
      </c>
      <c r="W254">
        <v>653</v>
      </c>
      <c r="X254">
        <v>626</v>
      </c>
      <c r="Y254">
        <v>588</v>
      </c>
      <c r="Z254">
        <v>581</v>
      </c>
      <c r="AA254">
        <v>512</v>
      </c>
      <c r="AB254">
        <v>334</v>
      </c>
      <c r="AC254">
        <v>308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845292</v>
      </c>
    </row>
    <row r="255" spans="1:51" hidden="1" x14ac:dyDescent="0.2">
      <c r="A255" t="s">
        <v>13</v>
      </c>
      <c r="C255">
        <v>253</v>
      </c>
      <c r="D255">
        <v>22</v>
      </c>
      <c r="E255" t="s">
        <v>338</v>
      </c>
      <c r="F255">
        <v>2014</v>
      </c>
      <c r="H255">
        <v>381008</v>
      </c>
      <c r="I255">
        <v>242828</v>
      </c>
      <c r="J255">
        <v>73096</v>
      </c>
      <c r="K255">
        <v>27687</v>
      </c>
      <c r="L255">
        <v>14762</v>
      </c>
      <c r="M255">
        <v>9571</v>
      </c>
      <c r="N255">
        <v>5573</v>
      </c>
      <c r="O255">
        <v>1588</v>
      </c>
      <c r="P255">
        <v>1430</v>
      </c>
      <c r="Q255">
        <v>1338</v>
      </c>
      <c r="R255">
        <v>1212</v>
      </c>
      <c r="S255">
        <v>1183</v>
      </c>
      <c r="T255">
        <v>1083</v>
      </c>
      <c r="U255">
        <v>1016</v>
      </c>
      <c r="V255">
        <v>919</v>
      </c>
      <c r="W255">
        <v>918</v>
      </c>
      <c r="X255">
        <v>799</v>
      </c>
      <c r="Y255">
        <v>686</v>
      </c>
      <c r="Z255">
        <v>545</v>
      </c>
      <c r="AA255">
        <v>514</v>
      </c>
      <c r="AB255">
        <v>453</v>
      </c>
      <c r="AC255">
        <v>418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768627</v>
      </c>
    </row>
    <row r="256" spans="1:51" hidden="1" x14ac:dyDescent="0.2">
      <c r="A256" t="s">
        <v>13</v>
      </c>
      <c r="C256">
        <v>254</v>
      </c>
      <c r="D256">
        <v>21</v>
      </c>
      <c r="E256" t="s">
        <v>339</v>
      </c>
      <c r="F256">
        <v>2014</v>
      </c>
      <c r="H256">
        <v>374609</v>
      </c>
      <c r="I256">
        <v>246045</v>
      </c>
      <c r="J256">
        <v>84773</v>
      </c>
      <c r="K256">
        <v>40298</v>
      </c>
      <c r="L256">
        <v>9573</v>
      </c>
      <c r="M256">
        <v>6897</v>
      </c>
      <c r="N256">
        <v>6664</v>
      </c>
      <c r="O256">
        <v>1324</v>
      </c>
      <c r="P256">
        <v>1266</v>
      </c>
      <c r="Q256">
        <v>1077</v>
      </c>
      <c r="R256">
        <v>1059</v>
      </c>
      <c r="S256">
        <v>917</v>
      </c>
      <c r="T256">
        <v>764</v>
      </c>
      <c r="U256">
        <v>701</v>
      </c>
      <c r="V256">
        <v>677</v>
      </c>
      <c r="W256">
        <v>674</v>
      </c>
      <c r="X256">
        <v>595</v>
      </c>
      <c r="Y256">
        <v>559</v>
      </c>
      <c r="Z256">
        <v>455</v>
      </c>
      <c r="AA256">
        <v>414</v>
      </c>
      <c r="AB256">
        <v>400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779741</v>
      </c>
    </row>
    <row r="257" spans="1:51" hidden="1" x14ac:dyDescent="0.2">
      <c r="A257" t="s">
        <v>13</v>
      </c>
      <c r="C257">
        <v>255</v>
      </c>
      <c r="D257">
        <v>11</v>
      </c>
      <c r="E257" t="s">
        <v>340</v>
      </c>
      <c r="F257">
        <v>2014</v>
      </c>
      <c r="H257">
        <v>396178</v>
      </c>
      <c r="I257">
        <v>394068</v>
      </c>
      <c r="J257">
        <v>129730</v>
      </c>
      <c r="K257">
        <v>20362</v>
      </c>
      <c r="L257">
        <v>10510</v>
      </c>
      <c r="M257">
        <v>9952</v>
      </c>
      <c r="N257">
        <v>9849</v>
      </c>
      <c r="O257">
        <v>6759</v>
      </c>
      <c r="P257">
        <v>4287</v>
      </c>
      <c r="Q257">
        <v>3308</v>
      </c>
      <c r="R257">
        <v>2763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987766</v>
      </c>
    </row>
    <row r="258" spans="1:51" hidden="1" x14ac:dyDescent="0.2">
      <c r="A258" t="s">
        <v>13</v>
      </c>
      <c r="C258">
        <v>256</v>
      </c>
      <c r="D258">
        <v>20</v>
      </c>
      <c r="E258" t="s">
        <v>341</v>
      </c>
      <c r="F258">
        <v>2014</v>
      </c>
      <c r="H258">
        <v>512226</v>
      </c>
      <c r="I258">
        <v>354829</v>
      </c>
      <c r="J258">
        <v>182293</v>
      </c>
      <c r="K258">
        <v>30566</v>
      </c>
      <c r="L258">
        <v>25982</v>
      </c>
      <c r="M258">
        <v>11259</v>
      </c>
      <c r="N258">
        <v>11186</v>
      </c>
      <c r="O258">
        <v>8940</v>
      </c>
      <c r="P258">
        <v>8765</v>
      </c>
      <c r="Q258">
        <v>4311</v>
      </c>
      <c r="R258">
        <v>4276</v>
      </c>
      <c r="S258">
        <v>3429</v>
      </c>
      <c r="T258">
        <v>2911</v>
      </c>
      <c r="U258">
        <v>2536</v>
      </c>
      <c r="V258">
        <v>2336</v>
      </c>
      <c r="W258">
        <v>2024</v>
      </c>
      <c r="X258">
        <v>2016</v>
      </c>
      <c r="Y258">
        <v>1765</v>
      </c>
      <c r="Z258">
        <v>1600</v>
      </c>
      <c r="AA258">
        <v>1085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1174335</v>
      </c>
    </row>
    <row r="259" spans="1:51" hidden="1" x14ac:dyDescent="0.2">
      <c r="A259" t="s">
        <v>13</v>
      </c>
      <c r="C259">
        <v>257</v>
      </c>
      <c r="D259">
        <v>30</v>
      </c>
      <c r="E259" t="s">
        <v>342</v>
      </c>
      <c r="F259">
        <v>2014</v>
      </c>
      <c r="H259">
        <v>569825</v>
      </c>
      <c r="I259">
        <v>254056</v>
      </c>
      <c r="J259">
        <v>93502</v>
      </c>
      <c r="K259">
        <v>28657</v>
      </c>
      <c r="L259">
        <v>14727</v>
      </c>
      <c r="M259">
        <v>7222</v>
      </c>
      <c r="N259">
        <v>6438</v>
      </c>
      <c r="O259">
        <v>2259</v>
      </c>
      <c r="P259">
        <v>1886</v>
      </c>
      <c r="Q259">
        <v>1797</v>
      </c>
      <c r="R259">
        <v>1324</v>
      </c>
      <c r="S259">
        <v>1230</v>
      </c>
      <c r="T259">
        <v>1131</v>
      </c>
      <c r="U259">
        <v>1028</v>
      </c>
      <c r="V259">
        <v>868</v>
      </c>
      <c r="W259">
        <v>840</v>
      </c>
      <c r="X259">
        <v>693</v>
      </c>
      <c r="Y259">
        <v>590</v>
      </c>
      <c r="Z259">
        <v>586</v>
      </c>
      <c r="AA259">
        <v>565</v>
      </c>
      <c r="AB259">
        <v>512</v>
      </c>
      <c r="AC259">
        <v>494</v>
      </c>
      <c r="AD259">
        <v>477</v>
      </c>
      <c r="AE259">
        <v>455</v>
      </c>
      <c r="AF259">
        <v>380</v>
      </c>
      <c r="AG259">
        <v>378</v>
      </c>
      <c r="AH259">
        <v>359</v>
      </c>
      <c r="AI259">
        <v>353</v>
      </c>
      <c r="AJ259">
        <v>343</v>
      </c>
      <c r="AK259">
        <v>303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993278</v>
      </c>
    </row>
    <row r="260" spans="1:51" hidden="1" x14ac:dyDescent="0.2">
      <c r="A260" t="s">
        <v>13</v>
      </c>
      <c r="C260">
        <v>258</v>
      </c>
      <c r="D260">
        <v>10</v>
      </c>
      <c r="E260" t="s">
        <v>343</v>
      </c>
      <c r="F260">
        <v>2014</v>
      </c>
      <c r="H260">
        <v>521562</v>
      </c>
      <c r="I260">
        <v>451843</v>
      </c>
      <c r="J260">
        <v>26396</v>
      </c>
      <c r="K260">
        <v>24908</v>
      </c>
      <c r="L260">
        <v>14216</v>
      </c>
      <c r="M260">
        <v>8811</v>
      </c>
      <c r="N260">
        <v>7845</v>
      </c>
      <c r="O260">
        <v>4739</v>
      </c>
      <c r="P260">
        <v>3345</v>
      </c>
      <c r="Q260">
        <v>2891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1066556</v>
      </c>
    </row>
    <row r="261" spans="1:51" hidden="1" x14ac:dyDescent="0.2">
      <c r="A261" t="s">
        <v>13</v>
      </c>
      <c r="C261">
        <v>259</v>
      </c>
      <c r="D261">
        <v>15</v>
      </c>
      <c r="E261" t="s">
        <v>344</v>
      </c>
      <c r="F261">
        <v>2014</v>
      </c>
      <c r="H261">
        <v>643415</v>
      </c>
      <c r="I261">
        <v>341601</v>
      </c>
      <c r="J261">
        <v>36448</v>
      </c>
      <c r="K261">
        <v>19783</v>
      </c>
      <c r="L261">
        <v>16663</v>
      </c>
      <c r="M261">
        <v>11995</v>
      </c>
      <c r="N261">
        <v>3850</v>
      </c>
      <c r="O261">
        <v>3258</v>
      </c>
      <c r="P261">
        <v>2433</v>
      </c>
      <c r="Q261">
        <v>2118</v>
      </c>
      <c r="R261">
        <v>1933</v>
      </c>
      <c r="S261">
        <v>1906</v>
      </c>
      <c r="T261">
        <v>1792</v>
      </c>
      <c r="U261">
        <v>1174</v>
      </c>
      <c r="V261">
        <v>1137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1089506</v>
      </c>
    </row>
    <row r="262" spans="1:51" hidden="1" x14ac:dyDescent="0.2">
      <c r="A262" t="s">
        <v>13</v>
      </c>
      <c r="C262">
        <v>260</v>
      </c>
      <c r="D262">
        <v>14</v>
      </c>
      <c r="E262" t="s">
        <v>345</v>
      </c>
      <c r="F262">
        <v>2014</v>
      </c>
      <c r="H262">
        <v>605185</v>
      </c>
      <c r="I262">
        <v>396063</v>
      </c>
      <c r="J262">
        <v>12683</v>
      </c>
      <c r="K262">
        <v>8386</v>
      </c>
      <c r="L262">
        <v>7473</v>
      </c>
      <c r="M262">
        <v>7120</v>
      </c>
      <c r="N262">
        <v>6003</v>
      </c>
      <c r="O262">
        <v>5649</v>
      </c>
      <c r="P262">
        <v>3497</v>
      </c>
      <c r="Q262">
        <v>3086</v>
      </c>
      <c r="R262">
        <v>2525</v>
      </c>
      <c r="S262">
        <v>2202</v>
      </c>
      <c r="T262">
        <v>1385</v>
      </c>
      <c r="U262">
        <v>1061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1062318</v>
      </c>
    </row>
    <row r="263" spans="1:51" hidden="1" x14ac:dyDescent="0.2">
      <c r="A263" t="s">
        <v>13</v>
      </c>
      <c r="C263">
        <v>261</v>
      </c>
      <c r="D263">
        <v>15</v>
      </c>
      <c r="E263" t="s">
        <v>346</v>
      </c>
      <c r="F263">
        <v>2014</v>
      </c>
      <c r="H263">
        <v>532936</v>
      </c>
      <c r="I263">
        <v>333014</v>
      </c>
      <c r="J263">
        <v>11580</v>
      </c>
      <c r="K263">
        <v>10381</v>
      </c>
      <c r="L263">
        <v>9879</v>
      </c>
      <c r="M263">
        <v>9296</v>
      </c>
      <c r="N263">
        <v>4728</v>
      </c>
      <c r="O263">
        <v>4319</v>
      </c>
      <c r="P263">
        <v>3193</v>
      </c>
      <c r="Q263">
        <v>2954</v>
      </c>
      <c r="R263">
        <v>2874</v>
      </c>
      <c r="S263">
        <v>2334</v>
      </c>
      <c r="T263">
        <v>2229</v>
      </c>
      <c r="U263">
        <v>1499</v>
      </c>
      <c r="V263">
        <v>1429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932645</v>
      </c>
    </row>
    <row r="264" spans="1:51" hidden="1" x14ac:dyDescent="0.2">
      <c r="A264" t="s">
        <v>13</v>
      </c>
      <c r="C264">
        <v>262</v>
      </c>
      <c r="D264">
        <v>35</v>
      </c>
      <c r="E264" t="s">
        <v>347</v>
      </c>
      <c r="F264">
        <v>2014</v>
      </c>
      <c r="H264">
        <v>635995</v>
      </c>
      <c r="I264">
        <v>499541</v>
      </c>
      <c r="J264">
        <v>14166</v>
      </c>
      <c r="K264">
        <v>8634</v>
      </c>
      <c r="L264">
        <v>5383</v>
      </c>
      <c r="M264">
        <v>5357</v>
      </c>
      <c r="N264">
        <v>4281</v>
      </c>
      <c r="O264">
        <v>3758</v>
      </c>
      <c r="P264">
        <v>3732</v>
      </c>
      <c r="Q264">
        <v>3617</v>
      </c>
      <c r="R264">
        <v>3264</v>
      </c>
      <c r="S264">
        <v>3247</v>
      </c>
      <c r="T264">
        <v>3163</v>
      </c>
      <c r="U264">
        <v>3040</v>
      </c>
      <c r="V264">
        <v>2797</v>
      </c>
      <c r="W264">
        <v>2698</v>
      </c>
      <c r="X264">
        <v>2482</v>
      </c>
      <c r="Y264">
        <v>2323</v>
      </c>
      <c r="Z264">
        <v>1930</v>
      </c>
      <c r="AA264">
        <v>1734</v>
      </c>
      <c r="AB264">
        <v>1733</v>
      </c>
      <c r="AC264">
        <v>1628</v>
      </c>
      <c r="AD264">
        <v>1584</v>
      </c>
      <c r="AE264">
        <v>1533</v>
      </c>
      <c r="AF264">
        <v>1270</v>
      </c>
      <c r="AG264">
        <v>1264</v>
      </c>
      <c r="AH264">
        <v>1162</v>
      </c>
      <c r="AI264">
        <v>1122</v>
      </c>
      <c r="AJ264">
        <v>1075</v>
      </c>
      <c r="AK264">
        <v>1065</v>
      </c>
      <c r="AL264">
        <v>1036</v>
      </c>
      <c r="AM264">
        <v>1018</v>
      </c>
      <c r="AN264">
        <v>944</v>
      </c>
      <c r="AO264">
        <v>931</v>
      </c>
      <c r="AP264">
        <v>848</v>
      </c>
      <c r="AQ264">
        <v>846</v>
      </c>
      <c r="AR264">
        <v>713</v>
      </c>
      <c r="AS264">
        <v>520</v>
      </c>
      <c r="AT264">
        <v>452</v>
      </c>
      <c r="AU264">
        <v>314</v>
      </c>
      <c r="AV264">
        <v>0</v>
      </c>
      <c r="AW264">
        <v>0</v>
      </c>
      <c r="AX264">
        <v>0</v>
      </c>
      <c r="AY264">
        <v>1232200</v>
      </c>
    </row>
    <row r="265" spans="1:51" hidden="1" x14ac:dyDescent="0.2">
      <c r="A265" t="s">
        <v>13</v>
      </c>
      <c r="C265">
        <v>263</v>
      </c>
      <c r="D265">
        <v>28</v>
      </c>
      <c r="E265" t="s">
        <v>348</v>
      </c>
      <c r="F265">
        <v>2014</v>
      </c>
      <c r="H265">
        <v>607699</v>
      </c>
      <c r="I265">
        <v>373374</v>
      </c>
      <c r="J265">
        <v>28322</v>
      </c>
      <c r="K265">
        <v>26868</v>
      </c>
      <c r="L265">
        <v>10210</v>
      </c>
      <c r="M265">
        <v>7245</v>
      </c>
      <c r="N265">
        <v>7169</v>
      </c>
      <c r="O265">
        <v>7038</v>
      </c>
      <c r="P265">
        <v>4613</v>
      </c>
      <c r="Q265">
        <v>4240</v>
      </c>
      <c r="R265">
        <v>4126</v>
      </c>
      <c r="S265">
        <v>4092</v>
      </c>
      <c r="T265">
        <v>3725</v>
      </c>
      <c r="U265">
        <v>3466</v>
      </c>
      <c r="V265">
        <v>3361</v>
      </c>
      <c r="W265">
        <v>2355</v>
      </c>
      <c r="X265">
        <v>2257</v>
      </c>
      <c r="Y265">
        <v>2251</v>
      </c>
      <c r="Z265">
        <v>1978</v>
      </c>
      <c r="AA265">
        <v>1963</v>
      </c>
      <c r="AB265">
        <v>1701</v>
      </c>
      <c r="AC265">
        <v>1640</v>
      </c>
      <c r="AD265">
        <v>1528</v>
      </c>
      <c r="AE265">
        <v>1482</v>
      </c>
      <c r="AF265">
        <v>1429</v>
      </c>
      <c r="AG265">
        <v>1418</v>
      </c>
      <c r="AH265">
        <v>1313</v>
      </c>
      <c r="AI265">
        <v>1288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1118151</v>
      </c>
    </row>
    <row r="266" spans="1:51" hidden="1" x14ac:dyDescent="0.2">
      <c r="A266" t="s">
        <v>13</v>
      </c>
      <c r="C266">
        <v>264</v>
      </c>
      <c r="D266">
        <v>19</v>
      </c>
      <c r="E266" t="s">
        <v>349</v>
      </c>
      <c r="F266">
        <v>2014</v>
      </c>
      <c r="H266">
        <v>616509</v>
      </c>
      <c r="I266">
        <v>363114</v>
      </c>
      <c r="J266">
        <v>20029</v>
      </c>
      <c r="K266">
        <v>13996</v>
      </c>
      <c r="L266">
        <v>9829</v>
      </c>
      <c r="M266">
        <v>8678</v>
      </c>
      <c r="N266">
        <v>3401</v>
      </c>
      <c r="O266">
        <v>2830</v>
      </c>
      <c r="P266">
        <v>2724</v>
      </c>
      <c r="Q266">
        <v>2052</v>
      </c>
      <c r="R266">
        <v>2035</v>
      </c>
      <c r="S266">
        <v>1941</v>
      </c>
      <c r="T266">
        <v>1840</v>
      </c>
      <c r="U266">
        <v>1765</v>
      </c>
      <c r="V266">
        <v>1541</v>
      </c>
      <c r="W266">
        <v>1337</v>
      </c>
      <c r="X266">
        <v>1306</v>
      </c>
      <c r="Y266">
        <v>1287</v>
      </c>
      <c r="Z266">
        <v>942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1057156</v>
      </c>
    </row>
    <row r="267" spans="1:51" hidden="1" x14ac:dyDescent="0.2">
      <c r="A267" t="s">
        <v>13</v>
      </c>
      <c r="C267">
        <v>265</v>
      </c>
      <c r="D267">
        <v>17</v>
      </c>
      <c r="E267" t="s">
        <v>350</v>
      </c>
      <c r="F267">
        <v>2014</v>
      </c>
      <c r="H267">
        <v>517879</v>
      </c>
      <c r="I267">
        <v>368205</v>
      </c>
      <c r="J267">
        <v>19041</v>
      </c>
      <c r="K267">
        <v>13778</v>
      </c>
      <c r="L267">
        <v>9261</v>
      </c>
      <c r="M267">
        <v>5487</v>
      </c>
      <c r="N267">
        <v>2706</v>
      </c>
      <c r="O267">
        <v>2458</v>
      </c>
      <c r="P267">
        <v>1683</v>
      </c>
      <c r="Q267">
        <v>1654</v>
      </c>
      <c r="R267">
        <v>1504</v>
      </c>
      <c r="S267">
        <v>1460</v>
      </c>
      <c r="T267">
        <v>1399</v>
      </c>
      <c r="U267">
        <v>1333</v>
      </c>
      <c r="V267">
        <v>1286</v>
      </c>
      <c r="W267">
        <v>1243</v>
      </c>
      <c r="X267">
        <v>824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951201</v>
      </c>
    </row>
    <row r="268" spans="1:51" hidden="1" x14ac:dyDescent="0.2">
      <c r="A268" t="s">
        <v>13</v>
      </c>
      <c r="C268">
        <v>266</v>
      </c>
      <c r="D268">
        <v>25</v>
      </c>
      <c r="E268" t="s">
        <v>351</v>
      </c>
      <c r="F268">
        <v>2014</v>
      </c>
      <c r="H268">
        <v>489989</v>
      </c>
      <c r="I268">
        <v>464645</v>
      </c>
      <c r="J268">
        <v>25187</v>
      </c>
      <c r="K268">
        <v>15790</v>
      </c>
      <c r="L268">
        <v>8853</v>
      </c>
      <c r="M268">
        <v>8829</v>
      </c>
      <c r="N268">
        <v>7160</v>
      </c>
      <c r="O268">
        <v>7115</v>
      </c>
      <c r="P268">
        <v>6886</v>
      </c>
      <c r="Q268">
        <v>4625</v>
      </c>
      <c r="R268">
        <v>4209</v>
      </c>
      <c r="S268">
        <v>4139</v>
      </c>
      <c r="T268">
        <v>3367</v>
      </c>
      <c r="U268">
        <v>3293</v>
      </c>
      <c r="V268">
        <v>3094</v>
      </c>
      <c r="W268">
        <v>2814</v>
      </c>
      <c r="X268">
        <v>2522</v>
      </c>
      <c r="Y268">
        <v>2336</v>
      </c>
      <c r="Z268">
        <v>2301</v>
      </c>
      <c r="AA268">
        <v>2275</v>
      </c>
      <c r="AB268">
        <v>2189</v>
      </c>
      <c r="AC268">
        <v>2117</v>
      </c>
      <c r="AD268">
        <v>1989</v>
      </c>
      <c r="AE268">
        <v>1969</v>
      </c>
      <c r="AF268">
        <v>1926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1079619</v>
      </c>
    </row>
    <row r="269" spans="1:51" hidden="1" x14ac:dyDescent="0.2">
      <c r="A269" t="s">
        <v>13</v>
      </c>
      <c r="C269">
        <v>267</v>
      </c>
      <c r="D269">
        <v>17</v>
      </c>
      <c r="E269" t="s">
        <v>352</v>
      </c>
      <c r="F269">
        <v>2014</v>
      </c>
      <c r="H269">
        <v>611563</v>
      </c>
      <c r="I269">
        <v>372271</v>
      </c>
      <c r="J269">
        <v>11378</v>
      </c>
      <c r="K269">
        <v>8405</v>
      </c>
      <c r="L269">
        <v>8353</v>
      </c>
      <c r="M269">
        <v>6110</v>
      </c>
      <c r="N269">
        <v>4699</v>
      </c>
      <c r="O269">
        <v>4309</v>
      </c>
      <c r="P269">
        <v>0</v>
      </c>
      <c r="Q269">
        <v>2481</v>
      </c>
      <c r="R269">
        <v>2460</v>
      </c>
      <c r="S269">
        <v>1844</v>
      </c>
      <c r="T269">
        <v>1774</v>
      </c>
      <c r="U269">
        <v>1702</v>
      </c>
      <c r="V269">
        <v>1661</v>
      </c>
      <c r="W269">
        <v>1494</v>
      </c>
      <c r="X269">
        <v>997</v>
      </c>
      <c r="Y269">
        <v>849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1042350</v>
      </c>
    </row>
    <row r="270" spans="1:51" hidden="1" x14ac:dyDescent="0.2">
      <c r="A270" t="s">
        <v>13</v>
      </c>
      <c r="C270">
        <v>268</v>
      </c>
      <c r="D270">
        <v>19</v>
      </c>
      <c r="E270" t="s">
        <v>353</v>
      </c>
      <c r="F270">
        <v>2014</v>
      </c>
      <c r="H270">
        <v>522531</v>
      </c>
      <c r="I270">
        <v>155937</v>
      </c>
      <c r="J270">
        <v>82489</v>
      </c>
      <c r="K270">
        <v>71808</v>
      </c>
      <c r="L270">
        <v>18215</v>
      </c>
      <c r="M270">
        <v>15073</v>
      </c>
      <c r="N270">
        <v>14523</v>
      </c>
      <c r="O270">
        <v>13760</v>
      </c>
      <c r="P270">
        <v>12270</v>
      </c>
      <c r="Q270">
        <v>12122</v>
      </c>
      <c r="R270">
        <v>11304</v>
      </c>
      <c r="S270">
        <v>10589</v>
      </c>
      <c r="T270">
        <v>10047</v>
      </c>
      <c r="U270">
        <v>9405</v>
      </c>
      <c r="V270">
        <v>4711</v>
      </c>
      <c r="W270">
        <v>3654</v>
      </c>
      <c r="X270">
        <v>3644</v>
      </c>
      <c r="Y270">
        <v>2435</v>
      </c>
      <c r="Z270">
        <v>2164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976681</v>
      </c>
    </row>
    <row r="271" spans="1:51" hidden="1" x14ac:dyDescent="0.2">
      <c r="A271" t="s">
        <v>13</v>
      </c>
      <c r="C271">
        <v>269</v>
      </c>
      <c r="D271">
        <v>11</v>
      </c>
      <c r="E271" t="s">
        <v>354</v>
      </c>
      <c r="F271">
        <v>2014</v>
      </c>
      <c r="H271">
        <v>493088</v>
      </c>
      <c r="I271">
        <v>343037</v>
      </c>
      <c r="J271">
        <v>13088</v>
      </c>
      <c r="K271">
        <v>12700</v>
      </c>
      <c r="L271">
        <v>12393</v>
      </c>
      <c r="M271">
        <v>7328</v>
      </c>
      <c r="N271">
        <v>5999</v>
      </c>
      <c r="O271">
        <v>2904</v>
      </c>
      <c r="P271">
        <v>2332</v>
      </c>
      <c r="Q271">
        <v>1992</v>
      </c>
      <c r="R271">
        <v>1395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896256</v>
      </c>
    </row>
    <row r="272" spans="1:51" hidden="1" x14ac:dyDescent="0.2">
      <c r="A272" t="s">
        <v>13</v>
      </c>
      <c r="C272">
        <v>270</v>
      </c>
      <c r="D272">
        <v>16</v>
      </c>
      <c r="E272" t="s">
        <v>355</v>
      </c>
      <c r="F272">
        <v>2014</v>
      </c>
      <c r="H272">
        <v>607665</v>
      </c>
      <c r="I272">
        <v>574406</v>
      </c>
      <c r="J272">
        <v>13162</v>
      </c>
      <c r="K272">
        <v>10963</v>
      </c>
      <c r="L272">
        <v>9291</v>
      </c>
      <c r="M272">
        <v>8635</v>
      </c>
      <c r="N272">
        <v>7067</v>
      </c>
      <c r="O272">
        <v>7015</v>
      </c>
      <c r="P272">
        <v>6114</v>
      </c>
      <c r="Q272">
        <v>5676</v>
      </c>
      <c r="R272">
        <v>5495</v>
      </c>
      <c r="S272">
        <v>1415</v>
      </c>
      <c r="T272">
        <v>915</v>
      </c>
      <c r="U272">
        <v>898</v>
      </c>
      <c r="V272">
        <v>836</v>
      </c>
      <c r="W272">
        <v>736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1260289</v>
      </c>
    </row>
    <row r="273" spans="1:64" hidden="1" x14ac:dyDescent="0.2">
      <c r="A273" t="s">
        <v>13</v>
      </c>
      <c r="C273">
        <v>271</v>
      </c>
      <c r="D273">
        <v>14</v>
      </c>
      <c r="E273" t="s">
        <v>356</v>
      </c>
      <c r="F273">
        <v>2014</v>
      </c>
      <c r="H273">
        <v>640428</v>
      </c>
      <c r="I273">
        <v>462618</v>
      </c>
      <c r="J273">
        <v>25648</v>
      </c>
      <c r="K273">
        <v>11499</v>
      </c>
      <c r="L273">
        <v>10059</v>
      </c>
      <c r="M273">
        <v>9015</v>
      </c>
      <c r="N273">
        <v>6585</v>
      </c>
      <c r="O273">
        <v>5186</v>
      </c>
      <c r="P273">
        <v>4176</v>
      </c>
      <c r="Q273">
        <v>3318</v>
      </c>
      <c r="R273">
        <v>2999</v>
      </c>
      <c r="S273">
        <v>2637</v>
      </c>
      <c r="T273">
        <v>2361</v>
      </c>
      <c r="U273">
        <v>2342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1188871</v>
      </c>
    </row>
    <row r="274" spans="1:64" hidden="1" x14ac:dyDescent="0.2">
      <c r="A274" t="s">
        <v>14</v>
      </c>
      <c r="C274">
        <v>272</v>
      </c>
      <c r="D274">
        <v>9</v>
      </c>
      <c r="E274" t="s">
        <v>357</v>
      </c>
      <c r="F274">
        <v>2014</v>
      </c>
      <c r="H274">
        <v>292102</v>
      </c>
      <c r="I274">
        <v>197428</v>
      </c>
      <c r="J274">
        <v>92444</v>
      </c>
      <c r="K274">
        <v>39903</v>
      </c>
      <c r="L274">
        <v>7014</v>
      </c>
      <c r="M274">
        <v>5298</v>
      </c>
      <c r="N274">
        <v>3273</v>
      </c>
      <c r="O274">
        <v>2005</v>
      </c>
      <c r="P274">
        <v>1403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640870</v>
      </c>
    </row>
    <row r="275" spans="1:64" hidden="1" x14ac:dyDescent="0.2">
      <c r="A275" t="s">
        <v>14</v>
      </c>
      <c r="C275">
        <v>273</v>
      </c>
      <c r="D275">
        <v>11</v>
      </c>
      <c r="E275" t="s">
        <v>358</v>
      </c>
      <c r="F275">
        <v>2014</v>
      </c>
      <c r="H275">
        <v>296770</v>
      </c>
      <c r="I275">
        <v>281133</v>
      </c>
      <c r="J275">
        <v>75828</v>
      </c>
      <c r="K275">
        <v>61662</v>
      </c>
      <c r="L275">
        <v>34995</v>
      </c>
      <c r="M275">
        <v>12752</v>
      </c>
      <c r="N275">
        <v>4331</v>
      </c>
      <c r="O275">
        <v>2206</v>
      </c>
      <c r="P275">
        <v>1085</v>
      </c>
      <c r="Q275">
        <v>603</v>
      </c>
      <c r="R275">
        <v>401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771766</v>
      </c>
    </row>
    <row r="276" spans="1:64" hidden="1" x14ac:dyDescent="0.2">
      <c r="A276" t="s">
        <v>15</v>
      </c>
      <c r="C276">
        <v>274</v>
      </c>
      <c r="D276">
        <v>9</v>
      </c>
      <c r="E276" t="s">
        <v>359</v>
      </c>
      <c r="F276">
        <v>2014</v>
      </c>
      <c r="H276">
        <v>209340</v>
      </c>
      <c r="I276">
        <v>168961</v>
      </c>
      <c r="J276">
        <v>106817</v>
      </c>
      <c r="K276">
        <v>95979</v>
      </c>
      <c r="L276">
        <v>10960</v>
      </c>
      <c r="M276">
        <v>8815</v>
      </c>
      <c r="N276">
        <v>7418</v>
      </c>
      <c r="O276">
        <v>6605</v>
      </c>
      <c r="P276">
        <v>5092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619987</v>
      </c>
    </row>
    <row r="277" spans="1:64" hidden="1" x14ac:dyDescent="0.2">
      <c r="A277" t="s">
        <v>15</v>
      </c>
      <c r="C277">
        <v>275</v>
      </c>
      <c r="D277">
        <v>3</v>
      </c>
      <c r="E277" t="s">
        <v>360</v>
      </c>
      <c r="F277">
        <v>2014</v>
      </c>
      <c r="H277">
        <v>239301</v>
      </c>
      <c r="I277">
        <v>199585</v>
      </c>
      <c r="J277">
        <v>19185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458071</v>
      </c>
    </row>
    <row r="278" spans="1:64" x14ac:dyDescent="0.2">
      <c r="A278" t="s">
        <v>16</v>
      </c>
      <c r="C278">
        <v>276</v>
      </c>
      <c r="D278">
        <v>4</v>
      </c>
      <c r="E278" t="s">
        <v>16</v>
      </c>
      <c r="F278">
        <v>2014</v>
      </c>
      <c r="G278" t="str">
        <f t="shared" ref="G278:G279" si="1">IF(BH278,"OWNCM",IF(BK278,"WPCW","PBP"))</f>
        <v>WPCW</v>
      </c>
      <c r="H278">
        <v>210485</v>
      </c>
      <c r="I278">
        <v>204331</v>
      </c>
      <c r="J278">
        <v>11890</v>
      </c>
      <c r="K278">
        <v>6495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433201</v>
      </c>
      <c r="AZ278" s="7">
        <f t="shared" ref="AZ278:AZ279" si="2">MAX(H278:K278)/AY278</f>
        <v>0.48588299657664685</v>
      </c>
      <c r="BA278" s="8">
        <f t="shared" ref="BA278:BA279" si="3">IF(AZ278&lt;50%,1,0)</f>
        <v>1</v>
      </c>
      <c r="BB278" s="11">
        <f t="shared" ref="BB278:BB279" si="4">H278/$AY278</f>
        <v>0.48588299657664685</v>
      </c>
      <c r="BC278" s="11">
        <f t="shared" ref="BC278:BC279" si="5">I278/$AY278</f>
        <v>0.47167711985891075</v>
      </c>
      <c r="BD278" s="11">
        <f t="shared" ref="BD278:BD279" si="6">J278/$AY278</f>
        <v>2.7446843382171324E-2</v>
      </c>
      <c r="BE278" s="11">
        <f t="shared" ref="BE278:BE279" si="7">K278/$AY278</f>
        <v>1.4993040182271048E-2</v>
      </c>
      <c r="BF278" s="6">
        <f t="shared" ref="BF278:BF279" si="8">IF((BB278+BE278)&gt;(BC278+BD278),1,0)</f>
        <v>1</v>
      </c>
      <c r="BG278" s="6">
        <f t="shared" ref="BG278:BG279" si="9">IF(BF278=1,0,1)</f>
        <v>0</v>
      </c>
      <c r="BH278" s="9">
        <f>IF(BF278,IF(AND('4 candidates_LS-2014'!BB278&gt;OWNCM_lim!$G$26,'4 candidates_LS-2014'!BB278&lt;=OWNCM_lim!$N$26,'4 candidates_LS-2014'!BC278&gt;OWNCM_lim!$G$28,'4 candidates_LS-2014'!BC278&lt;=OWNCM_lim!$N$28,'4 candidates_LS-2014'!BD278&gt;OWNCM_lim!$G$30,'4 candidates_LS-2014'!BD278&lt;=OWNCM_lim!$N$30,'4 candidates_LS-2014'!BE278&gt;OWNCM_lim!$G$32,'4 candidates_LS-2014'!BE278&lt;=OWNCM_lim!$N$32),1,0),IF(AND('4 candidates_LS-2014'!BB278&gt;OWNCM_lim!$G$38,'4 candidates_LS-2014'!BB278&lt;=OWNCM_lim!$N$38,'4 candidates_LS-2014'!BC278&gt;OWNCM_lim!$G$40,'4 candidates_LS-2014'!BC278&lt;=OWNCM_lim!$N$40,'4 candidates_LS-2014'!BD278&gt;OWNCM_lim!$G$42,'4 candidates_LS-2014'!BD278&lt;=OWNCM_lim!$N$42,'4 candidates_LS-2014'!BE278&gt;OWNCM_lim!$G$44,'4 candidates_LS-2014'!BE278&lt;=OWNCM_lim!$N$44),1,0))</f>
        <v>0</v>
      </c>
      <c r="BI278" s="9">
        <f>IF(BH278,0,IF(AND(BB278&gt;OWNCM_lim!$G$59,'4 candidates_LS-2014'!BB278&lt;=OWNCM_lim!$N$59,'4 candidates_LS-2014'!BC278&gt;OWNCM_lim!$G$61,'4 candidates_LS-2014'!BC278&lt;=OWNCM_lim!$N$61,'4 candidates_LS-2014'!BD278&gt;OWNCM_lim!$G$63,'4 candidates_LS-2014'!BD278&lt;=OWNCM_lim!$N$63,'4 candidates_LS-2014'!BE278&gt;OWNCM_lim!$G$65,'4 candidates_LS-2014'!BE278&lt;=OWNCM_lim!$N$65),1,0))</f>
        <v>0</v>
      </c>
      <c r="BJ278" s="9">
        <f>IF(BH278,0,IF(AND(BB278&gt;OWNCM_lim!$G$80,'4 candidates_LS-2014'!BB278&lt;=OWNCM_lim!$N$80,'4 candidates_LS-2014'!BC278&gt;OWNCM_lim!$G$82,'4 candidates_LS-2014'!BC278&lt;=OWNCM_lim!$N$82,'4 candidates_LS-2014'!BD278&gt;OWNCM_lim!$G$84,'4 candidates_LS-2014'!BD278&lt;=OWNCM_lim!$N$84,'4 candidates_LS-2014'!BE278&gt;OWNCM_lim!$G$86,'4 candidates_LS-2014'!BE278&lt;=OWNCM_lim!$N$86),1,0))</f>
        <v>1</v>
      </c>
      <c r="BK278" s="6">
        <f t="shared" ref="BK278:BK279" si="10">IF(BH278=0,IF(BI278=1,1,IF(BJ278=1,1,0)))</f>
        <v>1</v>
      </c>
      <c r="BL278" s="6">
        <f t="shared" ref="BL278:BL279" si="11">IF(AND(BH278=0,BK278=0),1,0)</f>
        <v>0</v>
      </c>
    </row>
    <row r="279" spans="1:64" hidden="1" x14ac:dyDescent="0.2">
      <c r="A279" t="s">
        <v>17</v>
      </c>
      <c r="C279">
        <v>277</v>
      </c>
      <c r="D279">
        <v>4</v>
      </c>
      <c r="E279" t="s">
        <v>17</v>
      </c>
      <c r="F279">
        <v>2014</v>
      </c>
      <c r="G279" t="str">
        <f t="shared" si="1"/>
        <v>PBP</v>
      </c>
      <c r="H279">
        <v>713372</v>
      </c>
      <c r="I279">
        <v>313147</v>
      </c>
      <c r="J279">
        <v>9695</v>
      </c>
      <c r="K279">
        <v>2696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1038910</v>
      </c>
      <c r="AZ279" s="7">
        <f t="shared" si="2"/>
        <v>0.68665428189159794</v>
      </c>
      <c r="BA279" s="8">
        <f t="shared" si="3"/>
        <v>0</v>
      </c>
      <c r="BB279" s="7">
        <f t="shared" si="4"/>
        <v>0.68665428189159794</v>
      </c>
      <c r="BC279" s="7">
        <f t="shared" si="5"/>
        <v>0.30141879469828953</v>
      </c>
      <c r="BD279" s="7">
        <f t="shared" si="6"/>
        <v>9.331895929387532E-3</v>
      </c>
      <c r="BE279" s="7">
        <f t="shared" si="7"/>
        <v>2.5950274807249908E-3</v>
      </c>
      <c r="BF279" s="6">
        <f t="shared" si="8"/>
        <v>1</v>
      </c>
      <c r="BG279" s="6">
        <f t="shared" si="9"/>
        <v>0</v>
      </c>
      <c r="BH279" s="9">
        <f>IF(BF279,IF(AND('4 candidates_LS-2014'!BB279&gt;OWNCM_lim!$G$26,'4 candidates_LS-2014'!BB279&lt;=OWNCM_lim!$N$26,'4 candidates_LS-2014'!BC279&gt;OWNCM_lim!$G$28,'4 candidates_LS-2014'!BC279&lt;=OWNCM_lim!$N$28,'4 candidates_LS-2014'!BD279&gt;OWNCM_lim!$G$30,'4 candidates_LS-2014'!BD279&lt;=OWNCM_lim!$N$30,'4 candidates_LS-2014'!BE279&gt;OWNCM_lim!$G$32,'4 candidates_LS-2014'!BE279&lt;=OWNCM_lim!$N$32),1,0),IF(AND('4 candidates_LS-2014'!BB279&gt;OWNCM_lim!$G$38,'4 candidates_LS-2014'!BB279&lt;=OWNCM_lim!$N$38,'4 candidates_LS-2014'!BC279&gt;OWNCM_lim!$G$40,'4 candidates_LS-2014'!BC279&lt;=OWNCM_lim!$N$40,'4 candidates_LS-2014'!BD279&gt;OWNCM_lim!$G$42,'4 candidates_LS-2014'!BD279&lt;=OWNCM_lim!$N$42,'4 candidates_LS-2014'!BE279&gt;OWNCM_lim!$G$44,'4 candidates_LS-2014'!BE279&lt;=OWNCM_lim!$N$44),1,0))</f>
        <v>0</v>
      </c>
      <c r="BI279" s="9">
        <f>IF(BH279,0,IF(AND(BB279&gt;OWNCM_lim!$G$59,'4 candidates_LS-2014'!BB279&lt;=OWNCM_lim!$N$59,'4 candidates_LS-2014'!BC279&gt;OWNCM_lim!$G$61,'4 candidates_LS-2014'!BC279&lt;=OWNCM_lim!$N$61,'4 candidates_LS-2014'!BD279&gt;OWNCM_lim!$G$63,'4 candidates_LS-2014'!BD279&lt;=OWNCM_lim!$N$63,'4 candidates_LS-2014'!BE279&gt;OWNCM_lim!$G$65,'4 candidates_LS-2014'!BE279&lt;=OWNCM_lim!$N$65),1,0))</f>
        <v>0</v>
      </c>
      <c r="BJ279" s="9">
        <f>IF(BH279,0,IF(AND(BB279&gt;OWNCM_lim!$G$80,'4 candidates_LS-2014'!BB279&lt;=OWNCM_lim!$N$80,'4 candidates_LS-2014'!BC279&gt;OWNCM_lim!$G$82,'4 candidates_LS-2014'!BC279&lt;=OWNCM_lim!$N$82,'4 candidates_LS-2014'!BD279&gt;OWNCM_lim!$G$84,'4 candidates_LS-2014'!BD279&lt;=OWNCM_lim!$N$84,'4 candidates_LS-2014'!BE279&gt;OWNCM_lim!$G$86,'4 candidates_LS-2014'!BE279&lt;=OWNCM_lim!$N$86),1,0))</f>
        <v>0</v>
      </c>
      <c r="BK279" s="6">
        <f t="shared" si="10"/>
        <v>0</v>
      </c>
      <c r="BL279" s="6">
        <f t="shared" si="11"/>
        <v>1</v>
      </c>
    </row>
    <row r="280" spans="1:64" hidden="1" x14ac:dyDescent="0.2">
      <c r="A280" t="s">
        <v>18</v>
      </c>
      <c r="C280">
        <v>278</v>
      </c>
      <c r="D280">
        <v>9</v>
      </c>
      <c r="E280" t="s">
        <v>361</v>
      </c>
      <c r="F280">
        <v>2014</v>
      </c>
      <c r="H280">
        <v>383230</v>
      </c>
      <c r="I280">
        <v>372052</v>
      </c>
      <c r="J280">
        <v>274610</v>
      </c>
      <c r="K280">
        <v>26216</v>
      </c>
      <c r="L280">
        <v>21100</v>
      </c>
      <c r="M280">
        <v>15672</v>
      </c>
      <c r="N280">
        <v>14500</v>
      </c>
      <c r="O280">
        <v>8009</v>
      </c>
      <c r="P280">
        <v>7912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1123301</v>
      </c>
    </row>
    <row r="281" spans="1:64" hidden="1" x14ac:dyDescent="0.2">
      <c r="A281" t="s">
        <v>18</v>
      </c>
      <c r="C281">
        <v>279</v>
      </c>
      <c r="D281">
        <v>13</v>
      </c>
      <c r="E281" t="s">
        <v>362</v>
      </c>
      <c r="F281">
        <v>2014</v>
      </c>
      <c r="H281">
        <v>340508</v>
      </c>
      <c r="I281">
        <v>321679</v>
      </c>
      <c r="J281">
        <v>269335</v>
      </c>
      <c r="K281">
        <v>15835</v>
      </c>
      <c r="L281">
        <v>9472</v>
      </c>
      <c r="M281">
        <v>9460</v>
      </c>
      <c r="N281">
        <v>9001</v>
      </c>
      <c r="O281">
        <v>8448</v>
      </c>
      <c r="P281">
        <v>7429</v>
      </c>
      <c r="Q281">
        <v>7282</v>
      </c>
      <c r="R281">
        <v>4408</v>
      </c>
      <c r="S281">
        <v>3951</v>
      </c>
      <c r="T281">
        <v>3903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1010711</v>
      </c>
    </row>
    <row r="282" spans="1:64" hidden="1" x14ac:dyDescent="0.2">
      <c r="A282" t="s">
        <v>18</v>
      </c>
      <c r="C282">
        <v>280</v>
      </c>
      <c r="D282">
        <v>12</v>
      </c>
      <c r="E282" t="s">
        <v>363</v>
      </c>
      <c r="F282">
        <v>2014</v>
      </c>
      <c r="H282">
        <v>358618</v>
      </c>
      <c r="I282">
        <v>328042</v>
      </c>
      <c r="J282">
        <v>242131</v>
      </c>
      <c r="K282">
        <v>13314</v>
      </c>
      <c r="L282">
        <v>12211</v>
      </c>
      <c r="M282">
        <v>7029</v>
      </c>
      <c r="N282">
        <v>4763</v>
      </c>
      <c r="O282">
        <v>4502</v>
      </c>
      <c r="P282">
        <v>4018</v>
      </c>
      <c r="Q282">
        <v>4012</v>
      </c>
      <c r="R282">
        <v>3110</v>
      </c>
      <c r="S282">
        <v>2559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984309</v>
      </c>
    </row>
    <row r="283" spans="1:64" hidden="1" x14ac:dyDescent="0.2">
      <c r="A283" t="s">
        <v>18</v>
      </c>
      <c r="C283">
        <v>281</v>
      </c>
      <c r="D283">
        <v>9</v>
      </c>
      <c r="E283" t="s">
        <v>364</v>
      </c>
      <c r="F283">
        <v>2014</v>
      </c>
      <c r="H283">
        <v>434471</v>
      </c>
      <c r="I283">
        <v>277154</v>
      </c>
      <c r="J283">
        <v>190531</v>
      </c>
      <c r="K283">
        <v>101999</v>
      </c>
      <c r="L283">
        <v>26065</v>
      </c>
      <c r="M283">
        <v>16420</v>
      </c>
      <c r="N283">
        <v>16299</v>
      </c>
      <c r="O283">
        <v>12236</v>
      </c>
      <c r="P283">
        <v>8694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1083869</v>
      </c>
    </row>
    <row r="284" spans="1:64" hidden="1" x14ac:dyDescent="0.2">
      <c r="A284" t="s">
        <v>18</v>
      </c>
      <c r="C284">
        <v>282</v>
      </c>
      <c r="D284">
        <v>10</v>
      </c>
      <c r="E284" t="s">
        <v>365</v>
      </c>
      <c r="F284">
        <v>2014</v>
      </c>
      <c r="H284">
        <v>393779</v>
      </c>
      <c r="I284">
        <v>270913</v>
      </c>
      <c r="J284">
        <v>172984</v>
      </c>
      <c r="K284">
        <v>142165</v>
      </c>
      <c r="L284">
        <v>23517</v>
      </c>
      <c r="M284">
        <v>14632</v>
      </c>
      <c r="N284">
        <v>12041</v>
      </c>
      <c r="O284">
        <v>8183</v>
      </c>
      <c r="P284">
        <v>8133</v>
      </c>
      <c r="Q284">
        <v>7052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1053399</v>
      </c>
    </row>
    <row r="285" spans="1:64" hidden="1" x14ac:dyDescent="0.2">
      <c r="A285" t="s">
        <v>18</v>
      </c>
      <c r="C285">
        <v>283</v>
      </c>
      <c r="D285">
        <v>11</v>
      </c>
      <c r="E285" t="s">
        <v>366</v>
      </c>
      <c r="F285">
        <v>2014</v>
      </c>
      <c r="H285">
        <v>433768</v>
      </c>
      <c r="I285">
        <v>291943</v>
      </c>
      <c r="J285">
        <v>277517</v>
      </c>
      <c r="K285">
        <v>14538</v>
      </c>
      <c r="L285">
        <v>9856</v>
      </c>
      <c r="M285">
        <v>7716</v>
      </c>
      <c r="N285">
        <v>4529</v>
      </c>
      <c r="O285">
        <v>3240</v>
      </c>
      <c r="P285">
        <v>2664</v>
      </c>
      <c r="Q285">
        <v>1856</v>
      </c>
      <c r="R285">
        <v>1823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1049450</v>
      </c>
    </row>
    <row r="286" spans="1:64" hidden="1" x14ac:dyDescent="0.2">
      <c r="A286" t="s">
        <v>18</v>
      </c>
      <c r="C286">
        <v>284</v>
      </c>
      <c r="D286">
        <v>9</v>
      </c>
      <c r="E286" t="s">
        <v>367</v>
      </c>
      <c r="F286">
        <v>2014</v>
      </c>
      <c r="H286">
        <v>502338</v>
      </c>
      <c r="I286">
        <v>322979</v>
      </c>
      <c r="J286">
        <v>216617</v>
      </c>
      <c r="K286">
        <v>11930</v>
      </c>
      <c r="L286">
        <v>7607</v>
      </c>
      <c r="M286">
        <v>6750</v>
      </c>
      <c r="N286">
        <v>5961</v>
      </c>
      <c r="O286">
        <v>4518</v>
      </c>
      <c r="P286">
        <v>2639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1081339</v>
      </c>
    </row>
    <row r="287" spans="1:64" hidden="1" x14ac:dyDescent="0.2">
      <c r="A287" t="s">
        <v>18</v>
      </c>
      <c r="C287">
        <v>285</v>
      </c>
      <c r="D287">
        <v>10</v>
      </c>
      <c r="E287" t="s">
        <v>368</v>
      </c>
      <c r="F287">
        <v>2014</v>
      </c>
      <c r="H287">
        <v>541349</v>
      </c>
      <c r="I287">
        <v>221078</v>
      </c>
      <c r="J287">
        <v>150789</v>
      </c>
      <c r="K287">
        <v>29142</v>
      </c>
      <c r="L287">
        <v>8655</v>
      </c>
      <c r="M287">
        <v>8269</v>
      </c>
      <c r="N287">
        <v>8065</v>
      </c>
      <c r="O287">
        <v>6926</v>
      </c>
      <c r="P287">
        <v>3409</v>
      </c>
      <c r="Q287">
        <v>2753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980435</v>
      </c>
    </row>
    <row r="288" spans="1:64" hidden="1" x14ac:dyDescent="0.2">
      <c r="A288" t="s">
        <v>18</v>
      </c>
      <c r="C288">
        <v>286</v>
      </c>
      <c r="D288">
        <v>13</v>
      </c>
      <c r="E288" t="s">
        <v>369</v>
      </c>
      <c r="F288">
        <v>2014</v>
      </c>
      <c r="H288">
        <v>453277</v>
      </c>
      <c r="I288">
        <v>315937</v>
      </c>
      <c r="J288">
        <v>213794</v>
      </c>
      <c r="K288">
        <v>13205</v>
      </c>
      <c r="L288">
        <v>8712</v>
      </c>
      <c r="M288">
        <v>7505</v>
      </c>
      <c r="N288">
        <v>6574</v>
      </c>
      <c r="O288">
        <v>5447</v>
      </c>
      <c r="P288">
        <v>5120</v>
      </c>
      <c r="Q288">
        <v>4275</v>
      </c>
      <c r="R288">
        <v>3918</v>
      </c>
      <c r="S288">
        <v>2298</v>
      </c>
      <c r="T288">
        <v>2039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1042101</v>
      </c>
    </row>
    <row r="289" spans="1:51" hidden="1" x14ac:dyDescent="0.2">
      <c r="A289" t="s">
        <v>18</v>
      </c>
      <c r="C289">
        <v>287</v>
      </c>
      <c r="D289">
        <v>9</v>
      </c>
      <c r="E289" t="s">
        <v>370</v>
      </c>
      <c r="F289">
        <v>2014</v>
      </c>
      <c r="H289">
        <v>453519</v>
      </c>
      <c r="I289">
        <v>349220</v>
      </c>
      <c r="J289">
        <v>277616</v>
      </c>
      <c r="K289">
        <v>24515</v>
      </c>
      <c r="L289">
        <v>21043</v>
      </c>
      <c r="M289">
        <v>14626</v>
      </c>
      <c r="N289">
        <v>11513</v>
      </c>
      <c r="O289">
        <v>9915</v>
      </c>
      <c r="P289">
        <v>8438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1170405</v>
      </c>
    </row>
    <row r="290" spans="1:51" hidden="1" x14ac:dyDescent="0.2">
      <c r="A290" t="s">
        <v>18</v>
      </c>
      <c r="C290">
        <v>288</v>
      </c>
      <c r="D290">
        <v>16</v>
      </c>
      <c r="E290" t="s">
        <v>371</v>
      </c>
      <c r="F290">
        <v>2014</v>
      </c>
      <c r="H290">
        <v>370871</v>
      </c>
      <c r="I290">
        <v>314524</v>
      </c>
      <c r="J290">
        <v>307967</v>
      </c>
      <c r="K290">
        <v>20880</v>
      </c>
      <c r="L290">
        <v>18869</v>
      </c>
      <c r="M290">
        <v>14115</v>
      </c>
      <c r="N290">
        <v>10839</v>
      </c>
      <c r="O290">
        <v>8698</v>
      </c>
      <c r="P290">
        <v>8600</v>
      </c>
      <c r="Q290">
        <v>8299</v>
      </c>
      <c r="R290">
        <v>7329</v>
      </c>
      <c r="S290">
        <v>6360</v>
      </c>
      <c r="T290">
        <v>5858</v>
      </c>
      <c r="U290">
        <v>5007</v>
      </c>
      <c r="V290">
        <v>4885</v>
      </c>
      <c r="W290">
        <v>4435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1117536</v>
      </c>
    </row>
    <row r="291" spans="1:51" hidden="1" x14ac:dyDescent="0.2">
      <c r="A291" t="s">
        <v>18</v>
      </c>
      <c r="C291">
        <v>289</v>
      </c>
      <c r="D291">
        <v>8</v>
      </c>
      <c r="E291" t="s">
        <v>372</v>
      </c>
      <c r="F291">
        <v>2014</v>
      </c>
      <c r="H291">
        <v>373887</v>
      </c>
      <c r="I291">
        <v>371845</v>
      </c>
      <c r="J291">
        <v>138430</v>
      </c>
      <c r="K291">
        <v>44408</v>
      </c>
      <c r="L291">
        <v>31707</v>
      </c>
      <c r="M291">
        <v>24832</v>
      </c>
      <c r="N291">
        <v>18675</v>
      </c>
      <c r="O291">
        <v>18388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1022172</v>
      </c>
    </row>
    <row r="292" spans="1:51" hidden="1" x14ac:dyDescent="0.2">
      <c r="A292" t="s">
        <v>18</v>
      </c>
      <c r="C292">
        <v>290</v>
      </c>
      <c r="D292">
        <v>9</v>
      </c>
      <c r="E292" t="s">
        <v>373</v>
      </c>
      <c r="F292">
        <v>2014</v>
      </c>
      <c r="H292">
        <v>421458</v>
      </c>
      <c r="I292">
        <v>240441</v>
      </c>
      <c r="J292">
        <v>108744</v>
      </c>
      <c r="K292">
        <v>20472</v>
      </c>
      <c r="L292">
        <v>14159</v>
      </c>
      <c r="M292">
        <v>11080</v>
      </c>
      <c r="N292">
        <v>9522</v>
      </c>
      <c r="O292">
        <v>7741</v>
      </c>
      <c r="P292">
        <v>5798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839415</v>
      </c>
    </row>
    <row r="293" spans="1:51" hidden="1" x14ac:dyDescent="0.2">
      <c r="A293" t="s">
        <v>18</v>
      </c>
      <c r="C293">
        <v>291</v>
      </c>
      <c r="D293">
        <v>11</v>
      </c>
      <c r="E293" t="s">
        <v>374</v>
      </c>
      <c r="F293">
        <v>2014</v>
      </c>
      <c r="H293">
        <v>526085</v>
      </c>
      <c r="I293">
        <v>219323</v>
      </c>
      <c r="J293">
        <v>146093</v>
      </c>
      <c r="K293">
        <v>58246</v>
      </c>
      <c r="L293">
        <v>8889</v>
      </c>
      <c r="M293">
        <v>5733</v>
      </c>
      <c r="N293">
        <v>4531</v>
      </c>
      <c r="O293">
        <v>3639</v>
      </c>
      <c r="P293">
        <v>2171</v>
      </c>
      <c r="Q293">
        <v>2082</v>
      </c>
      <c r="R293">
        <v>1812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978604</v>
      </c>
    </row>
    <row r="294" spans="1:51" hidden="1" x14ac:dyDescent="0.2">
      <c r="A294" t="s">
        <v>18</v>
      </c>
      <c r="C294">
        <v>292</v>
      </c>
      <c r="D294">
        <v>8</v>
      </c>
      <c r="E294" t="s">
        <v>375</v>
      </c>
      <c r="F294">
        <v>2014</v>
      </c>
      <c r="H294">
        <v>600023</v>
      </c>
      <c r="I294">
        <v>390723</v>
      </c>
      <c r="J294">
        <v>118653</v>
      </c>
      <c r="K294">
        <v>7596</v>
      </c>
      <c r="L294">
        <v>6192</v>
      </c>
      <c r="M294">
        <v>6185</v>
      </c>
      <c r="N294">
        <v>6019</v>
      </c>
      <c r="O294">
        <v>2216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1137607</v>
      </c>
    </row>
    <row r="295" spans="1:51" hidden="1" x14ac:dyDescent="0.2">
      <c r="A295" t="s">
        <v>18</v>
      </c>
      <c r="C295">
        <v>293</v>
      </c>
      <c r="D295">
        <v>8</v>
      </c>
      <c r="E295" t="s">
        <v>376</v>
      </c>
      <c r="F295">
        <v>2014</v>
      </c>
      <c r="H295">
        <v>624492</v>
      </c>
      <c r="I295">
        <v>348098</v>
      </c>
      <c r="J295">
        <v>117448</v>
      </c>
      <c r="K295">
        <v>18099</v>
      </c>
      <c r="L295">
        <v>7624</v>
      </c>
      <c r="M295">
        <v>6895</v>
      </c>
      <c r="N295">
        <v>5929</v>
      </c>
      <c r="O295">
        <v>3347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1131932</v>
      </c>
    </row>
    <row r="296" spans="1:51" hidden="1" x14ac:dyDescent="0.2">
      <c r="A296" t="s">
        <v>18</v>
      </c>
      <c r="C296">
        <v>294</v>
      </c>
      <c r="D296">
        <v>8</v>
      </c>
      <c r="E296" t="s">
        <v>377</v>
      </c>
      <c r="F296">
        <v>2014</v>
      </c>
      <c r="H296">
        <v>523161</v>
      </c>
      <c r="I296">
        <v>259800</v>
      </c>
      <c r="J296">
        <v>215763</v>
      </c>
      <c r="K296">
        <v>13190</v>
      </c>
      <c r="L296">
        <v>9150</v>
      </c>
      <c r="M296">
        <v>7094</v>
      </c>
      <c r="N296">
        <v>6969</v>
      </c>
      <c r="O296">
        <v>4262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1039389</v>
      </c>
    </row>
    <row r="297" spans="1:51" hidden="1" x14ac:dyDescent="0.2">
      <c r="A297" t="s">
        <v>18</v>
      </c>
      <c r="C297">
        <v>295</v>
      </c>
      <c r="D297">
        <v>12</v>
      </c>
      <c r="E297" t="s">
        <v>378</v>
      </c>
      <c r="F297">
        <v>2014</v>
      </c>
      <c r="H297">
        <v>439252</v>
      </c>
      <c r="I297">
        <v>249775</v>
      </c>
      <c r="J297">
        <v>145783</v>
      </c>
      <c r="K297">
        <v>29505</v>
      </c>
      <c r="L297">
        <v>8140</v>
      </c>
      <c r="M297">
        <v>7112</v>
      </c>
      <c r="N297">
        <v>3783</v>
      </c>
      <c r="O297">
        <v>3457</v>
      </c>
      <c r="P297">
        <v>1745</v>
      </c>
      <c r="Q297">
        <v>1194</v>
      </c>
      <c r="R297">
        <v>1128</v>
      </c>
      <c r="S297">
        <v>948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891822</v>
      </c>
    </row>
    <row r="298" spans="1:51" hidden="1" x14ac:dyDescent="0.2">
      <c r="A298" t="s">
        <v>18</v>
      </c>
      <c r="C298">
        <v>296</v>
      </c>
      <c r="D298">
        <v>10</v>
      </c>
      <c r="E298" t="s">
        <v>379</v>
      </c>
      <c r="F298">
        <v>2014</v>
      </c>
      <c r="H298">
        <v>541473</v>
      </c>
      <c r="I298">
        <v>229476</v>
      </c>
      <c r="J298">
        <v>67361</v>
      </c>
      <c r="K298">
        <v>15382</v>
      </c>
      <c r="L298">
        <v>11063</v>
      </c>
      <c r="M298">
        <v>9127</v>
      </c>
      <c r="N298">
        <v>7553</v>
      </c>
      <c r="O298">
        <v>5293</v>
      </c>
      <c r="P298">
        <v>5192</v>
      </c>
      <c r="Q298">
        <v>4361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896281</v>
      </c>
    </row>
    <row r="299" spans="1:51" hidden="1" x14ac:dyDescent="0.2">
      <c r="A299" t="s">
        <v>18</v>
      </c>
      <c r="C299">
        <v>297</v>
      </c>
      <c r="D299">
        <v>12</v>
      </c>
      <c r="E299" t="s">
        <v>380</v>
      </c>
      <c r="F299">
        <v>2014</v>
      </c>
      <c r="H299">
        <v>398107</v>
      </c>
      <c r="I299">
        <v>270387</v>
      </c>
      <c r="J299">
        <v>158811</v>
      </c>
      <c r="K299">
        <v>35968</v>
      </c>
      <c r="L299">
        <v>12706</v>
      </c>
      <c r="M299">
        <v>8248</v>
      </c>
      <c r="N299">
        <v>4081</v>
      </c>
      <c r="O299">
        <v>3865</v>
      </c>
      <c r="P299">
        <v>3719</v>
      </c>
      <c r="Q299">
        <v>3383</v>
      </c>
      <c r="R299">
        <v>3314</v>
      </c>
      <c r="S299">
        <v>2773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905362</v>
      </c>
    </row>
    <row r="300" spans="1:51" hidden="1" x14ac:dyDescent="0.2">
      <c r="A300" t="s">
        <v>18</v>
      </c>
      <c r="C300">
        <v>298</v>
      </c>
      <c r="D300">
        <v>10</v>
      </c>
      <c r="E300" t="s">
        <v>381</v>
      </c>
      <c r="F300">
        <v>2014</v>
      </c>
      <c r="H300">
        <v>395109</v>
      </c>
      <c r="I300">
        <v>375781</v>
      </c>
      <c r="J300">
        <v>89788</v>
      </c>
      <c r="K300">
        <v>34957</v>
      </c>
      <c r="L300">
        <v>33232</v>
      </c>
      <c r="M300">
        <v>14854</v>
      </c>
      <c r="N300">
        <v>13861</v>
      </c>
      <c r="O300">
        <v>13343</v>
      </c>
      <c r="P300">
        <v>9609</v>
      </c>
      <c r="Q300">
        <v>8910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989444</v>
      </c>
    </row>
    <row r="301" spans="1:51" hidden="1" x14ac:dyDescent="0.2">
      <c r="A301" t="s">
        <v>19</v>
      </c>
      <c r="C301">
        <v>299</v>
      </c>
      <c r="D301">
        <v>14</v>
      </c>
      <c r="E301" t="s">
        <v>382</v>
      </c>
      <c r="F301">
        <v>2014</v>
      </c>
      <c r="H301">
        <v>482255</v>
      </c>
      <c r="I301">
        <v>346190</v>
      </c>
      <c r="J301">
        <v>173376</v>
      </c>
      <c r="K301">
        <v>11839</v>
      </c>
      <c r="L301">
        <v>5621</v>
      </c>
      <c r="M301">
        <v>4625</v>
      </c>
      <c r="N301">
        <v>4057</v>
      </c>
      <c r="O301">
        <v>3645</v>
      </c>
      <c r="P301">
        <v>2875</v>
      </c>
      <c r="Q301">
        <v>2124</v>
      </c>
      <c r="R301">
        <v>1785</v>
      </c>
      <c r="S301">
        <v>1649</v>
      </c>
      <c r="T301">
        <v>1463</v>
      </c>
      <c r="U301">
        <v>1195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1042699</v>
      </c>
    </row>
    <row r="302" spans="1:51" hidden="1" x14ac:dyDescent="0.2">
      <c r="A302" t="s">
        <v>19</v>
      </c>
      <c r="C302">
        <v>300</v>
      </c>
      <c r="D302">
        <v>24</v>
      </c>
      <c r="E302" t="s">
        <v>383</v>
      </c>
      <c r="F302">
        <v>2014</v>
      </c>
      <c r="H302">
        <v>482876</v>
      </c>
      <c r="I302">
        <v>380106</v>
      </c>
      <c r="J302">
        <v>82633</v>
      </c>
      <c r="K302">
        <v>12902</v>
      </c>
      <c r="L302">
        <v>9023</v>
      </c>
      <c r="M302">
        <v>5870</v>
      </c>
      <c r="N302">
        <v>4350</v>
      </c>
      <c r="O302">
        <v>3294</v>
      </c>
      <c r="P302">
        <v>3083</v>
      </c>
      <c r="Q302">
        <v>2878</v>
      </c>
      <c r="R302">
        <v>2691</v>
      </c>
      <c r="S302">
        <v>2533</v>
      </c>
      <c r="T302">
        <v>2396</v>
      </c>
      <c r="U302">
        <v>2303</v>
      </c>
      <c r="V302">
        <v>2123</v>
      </c>
      <c r="W302">
        <v>1214</v>
      </c>
      <c r="X302">
        <v>1151</v>
      </c>
      <c r="Y302">
        <v>1140</v>
      </c>
      <c r="Z302">
        <v>941</v>
      </c>
      <c r="AA302">
        <v>922</v>
      </c>
      <c r="AB302">
        <v>833</v>
      </c>
      <c r="AC302">
        <v>827</v>
      </c>
      <c r="AD302">
        <v>604</v>
      </c>
      <c r="AE302">
        <v>503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1007196</v>
      </c>
    </row>
    <row r="303" spans="1:51" hidden="1" x14ac:dyDescent="0.2">
      <c r="A303" t="s">
        <v>19</v>
      </c>
      <c r="C303">
        <v>301</v>
      </c>
      <c r="D303">
        <v>18</v>
      </c>
      <c r="E303" t="s">
        <v>384</v>
      </c>
      <c r="F303">
        <v>2014</v>
      </c>
      <c r="H303">
        <v>467332</v>
      </c>
      <c r="I303">
        <v>366763</v>
      </c>
      <c r="J303">
        <v>144521</v>
      </c>
      <c r="K303">
        <v>13990</v>
      </c>
      <c r="L303">
        <v>9307</v>
      </c>
      <c r="M303">
        <v>8491</v>
      </c>
      <c r="N303">
        <v>5624</v>
      </c>
      <c r="O303">
        <v>4329</v>
      </c>
      <c r="P303">
        <v>3804</v>
      </c>
      <c r="Q303">
        <v>3282</v>
      </c>
      <c r="R303">
        <v>3114</v>
      </c>
      <c r="S303">
        <v>2930</v>
      </c>
      <c r="T303">
        <v>1720</v>
      </c>
      <c r="U303">
        <v>1313</v>
      </c>
      <c r="V303">
        <v>1182</v>
      </c>
      <c r="W303">
        <v>1053</v>
      </c>
      <c r="X303">
        <v>962</v>
      </c>
      <c r="Y303">
        <v>801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1040518</v>
      </c>
    </row>
    <row r="304" spans="1:51" hidden="1" x14ac:dyDescent="0.2">
      <c r="A304" t="s">
        <v>19</v>
      </c>
      <c r="C304">
        <v>302</v>
      </c>
      <c r="D304">
        <v>25</v>
      </c>
      <c r="E304" t="s">
        <v>385</v>
      </c>
      <c r="F304">
        <v>2014</v>
      </c>
      <c r="H304">
        <v>380479</v>
      </c>
      <c r="I304">
        <v>309498</v>
      </c>
      <c r="J304">
        <v>254121</v>
      </c>
      <c r="K304">
        <v>46914</v>
      </c>
      <c r="L304">
        <v>10074</v>
      </c>
      <c r="M304">
        <v>6250</v>
      </c>
      <c r="N304">
        <v>5436</v>
      </c>
      <c r="O304">
        <v>3497</v>
      </c>
      <c r="P304">
        <v>3265</v>
      </c>
      <c r="Q304">
        <v>2458</v>
      </c>
      <c r="R304">
        <v>2268</v>
      </c>
      <c r="S304">
        <v>2257</v>
      </c>
      <c r="T304">
        <v>1952</v>
      </c>
      <c r="U304">
        <v>1528</v>
      </c>
      <c r="V304">
        <v>1454</v>
      </c>
      <c r="W304">
        <v>1192</v>
      </c>
      <c r="X304">
        <v>1178</v>
      </c>
      <c r="Y304">
        <v>1082</v>
      </c>
      <c r="Z304">
        <v>1044</v>
      </c>
      <c r="AA304">
        <v>953</v>
      </c>
      <c r="AB304">
        <v>933</v>
      </c>
      <c r="AC304">
        <v>779</v>
      </c>
      <c r="AD304">
        <v>741</v>
      </c>
      <c r="AE304">
        <v>717</v>
      </c>
      <c r="AF304">
        <v>692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1040762</v>
      </c>
    </row>
    <row r="305" spans="1:51" hidden="1" x14ac:dyDescent="0.2">
      <c r="A305" t="s">
        <v>19</v>
      </c>
      <c r="C305">
        <v>303</v>
      </c>
      <c r="D305">
        <v>18</v>
      </c>
      <c r="E305" t="s">
        <v>386</v>
      </c>
      <c r="F305">
        <v>2014</v>
      </c>
      <c r="H305">
        <v>346643</v>
      </c>
      <c r="I305">
        <v>333061</v>
      </c>
      <c r="J305">
        <v>213388</v>
      </c>
      <c r="K305">
        <v>40497</v>
      </c>
      <c r="L305">
        <v>5976</v>
      </c>
      <c r="M305">
        <v>3216</v>
      </c>
      <c r="N305">
        <v>2564</v>
      </c>
      <c r="O305">
        <v>2527</v>
      </c>
      <c r="P305">
        <v>2158</v>
      </c>
      <c r="Q305">
        <v>1853</v>
      </c>
      <c r="R305">
        <v>1689</v>
      </c>
      <c r="S305">
        <v>1488</v>
      </c>
      <c r="T305">
        <v>1446</v>
      </c>
      <c r="U305">
        <v>1230</v>
      </c>
      <c r="V305">
        <v>1062</v>
      </c>
      <c r="W305">
        <v>911</v>
      </c>
      <c r="X305">
        <v>889</v>
      </c>
      <c r="Y305">
        <v>699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961297</v>
      </c>
    </row>
    <row r="306" spans="1:51" hidden="1" x14ac:dyDescent="0.2">
      <c r="A306" t="s">
        <v>19</v>
      </c>
      <c r="C306">
        <v>304</v>
      </c>
      <c r="D306">
        <v>19</v>
      </c>
      <c r="E306" t="s">
        <v>387</v>
      </c>
      <c r="F306">
        <v>2014</v>
      </c>
      <c r="H306">
        <v>347394</v>
      </c>
      <c r="I306">
        <v>323697</v>
      </c>
      <c r="J306">
        <v>306008</v>
      </c>
      <c r="K306">
        <v>69124</v>
      </c>
      <c r="L306">
        <v>10483</v>
      </c>
      <c r="M306">
        <v>5937</v>
      </c>
      <c r="N306">
        <v>4250</v>
      </c>
      <c r="O306">
        <v>3869</v>
      </c>
      <c r="P306">
        <v>2713</v>
      </c>
      <c r="Q306">
        <v>1995</v>
      </c>
      <c r="R306">
        <v>1943</v>
      </c>
      <c r="S306">
        <v>1706</v>
      </c>
      <c r="T306">
        <v>1427</v>
      </c>
      <c r="U306">
        <v>1423</v>
      </c>
      <c r="V306">
        <v>1307</v>
      </c>
      <c r="W306">
        <v>1010</v>
      </c>
      <c r="X306">
        <v>837</v>
      </c>
      <c r="Y306">
        <v>722</v>
      </c>
      <c r="Z306">
        <v>718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1086563</v>
      </c>
    </row>
    <row r="307" spans="1:51" hidden="1" x14ac:dyDescent="0.2">
      <c r="A307" t="s">
        <v>19</v>
      </c>
      <c r="C307">
        <v>305</v>
      </c>
      <c r="D307">
        <v>23</v>
      </c>
      <c r="E307" t="s">
        <v>388</v>
      </c>
      <c r="F307">
        <v>2014</v>
      </c>
      <c r="H307">
        <v>300459</v>
      </c>
      <c r="I307">
        <v>280750</v>
      </c>
      <c r="J307">
        <v>256590</v>
      </c>
      <c r="K307">
        <v>210917</v>
      </c>
      <c r="L307">
        <v>8317</v>
      </c>
      <c r="M307">
        <v>4653</v>
      </c>
      <c r="N307">
        <v>4509</v>
      </c>
      <c r="O307">
        <v>4167</v>
      </c>
      <c r="P307">
        <v>3980</v>
      </c>
      <c r="Q307">
        <v>3238</v>
      </c>
      <c r="R307">
        <v>3220</v>
      </c>
      <c r="S307">
        <v>3144</v>
      </c>
      <c r="T307">
        <v>2925</v>
      </c>
      <c r="U307">
        <v>1984</v>
      </c>
      <c r="V307">
        <v>1934</v>
      </c>
      <c r="W307">
        <v>1519</v>
      </c>
      <c r="X307">
        <v>1483</v>
      </c>
      <c r="Y307">
        <v>1286</v>
      </c>
      <c r="Z307">
        <v>1168</v>
      </c>
      <c r="AA307">
        <v>1111</v>
      </c>
      <c r="AB307">
        <v>1089</v>
      </c>
      <c r="AC307">
        <v>1028</v>
      </c>
      <c r="AD307">
        <v>986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1100457</v>
      </c>
    </row>
    <row r="308" spans="1:51" hidden="1" x14ac:dyDescent="0.2">
      <c r="A308" t="s">
        <v>19</v>
      </c>
      <c r="C308">
        <v>306</v>
      </c>
      <c r="D308">
        <v>16</v>
      </c>
      <c r="E308" t="s">
        <v>389</v>
      </c>
      <c r="F308">
        <v>2014</v>
      </c>
      <c r="H308">
        <v>367293</v>
      </c>
      <c r="I308">
        <v>313149</v>
      </c>
      <c r="J308">
        <v>312815</v>
      </c>
      <c r="K308">
        <v>12683</v>
      </c>
      <c r="L308">
        <v>4005</v>
      </c>
      <c r="M308">
        <v>3173</v>
      </c>
      <c r="N308">
        <v>2852</v>
      </c>
      <c r="O308">
        <v>2352</v>
      </c>
      <c r="P308">
        <v>2149</v>
      </c>
      <c r="Q308">
        <v>2141</v>
      </c>
      <c r="R308">
        <v>1930</v>
      </c>
      <c r="S308">
        <v>1733</v>
      </c>
      <c r="T308">
        <v>1679</v>
      </c>
      <c r="U308">
        <v>1266</v>
      </c>
      <c r="V308">
        <v>886</v>
      </c>
      <c r="W308">
        <v>848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1030954</v>
      </c>
    </row>
    <row r="309" spans="1:51" hidden="1" x14ac:dyDescent="0.2">
      <c r="A309" t="s">
        <v>19</v>
      </c>
      <c r="C309">
        <v>307</v>
      </c>
      <c r="D309">
        <v>20</v>
      </c>
      <c r="E309" t="s">
        <v>390</v>
      </c>
      <c r="F309">
        <v>2014</v>
      </c>
      <c r="H309">
        <v>450751</v>
      </c>
      <c r="I309">
        <v>278235</v>
      </c>
      <c r="J309">
        <v>251222</v>
      </c>
      <c r="K309">
        <v>14573</v>
      </c>
      <c r="L309">
        <v>8282</v>
      </c>
      <c r="M309">
        <v>3816</v>
      </c>
      <c r="N309">
        <v>3680</v>
      </c>
      <c r="O309">
        <v>2667</v>
      </c>
      <c r="P309">
        <v>2473</v>
      </c>
      <c r="Q309">
        <v>2213</v>
      </c>
      <c r="R309">
        <v>1726</v>
      </c>
      <c r="S309">
        <v>1693</v>
      </c>
      <c r="T309">
        <v>1623</v>
      </c>
      <c r="U309">
        <v>1605</v>
      </c>
      <c r="V309">
        <v>1531</v>
      </c>
      <c r="W309">
        <v>1512</v>
      </c>
      <c r="X309">
        <v>1358</v>
      </c>
      <c r="Y309">
        <v>1159</v>
      </c>
      <c r="Z309">
        <v>1123</v>
      </c>
      <c r="AA309">
        <v>865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1032107</v>
      </c>
    </row>
    <row r="310" spans="1:51" hidden="1" x14ac:dyDescent="0.2">
      <c r="A310" t="s">
        <v>19</v>
      </c>
      <c r="C310">
        <v>308</v>
      </c>
      <c r="D310">
        <v>16</v>
      </c>
      <c r="E310" t="s">
        <v>391</v>
      </c>
      <c r="F310">
        <v>2014</v>
      </c>
      <c r="H310">
        <v>487932</v>
      </c>
      <c r="I310">
        <v>456512</v>
      </c>
      <c r="J310">
        <v>113412</v>
      </c>
      <c r="K310">
        <v>22274</v>
      </c>
      <c r="L310">
        <v>7685</v>
      </c>
      <c r="M310">
        <v>3655</v>
      </c>
      <c r="N310">
        <v>3311</v>
      </c>
      <c r="O310">
        <v>1896</v>
      </c>
      <c r="P310">
        <v>1759</v>
      </c>
      <c r="Q310">
        <v>1546</v>
      </c>
      <c r="R310">
        <v>1237</v>
      </c>
      <c r="S310">
        <v>1088</v>
      </c>
      <c r="T310">
        <v>976</v>
      </c>
      <c r="U310">
        <v>766</v>
      </c>
      <c r="V310">
        <v>682</v>
      </c>
      <c r="W310">
        <v>681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1105412</v>
      </c>
    </row>
    <row r="311" spans="1:51" hidden="1" x14ac:dyDescent="0.2">
      <c r="A311" t="s">
        <v>19</v>
      </c>
      <c r="C311">
        <v>309</v>
      </c>
      <c r="D311">
        <v>30</v>
      </c>
      <c r="E311" t="s">
        <v>392</v>
      </c>
      <c r="F311">
        <v>2014</v>
      </c>
      <c r="H311">
        <v>514727</v>
      </c>
      <c r="I311">
        <v>495332</v>
      </c>
      <c r="J311">
        <v>87901</v>
      </c>
      <c r="K311">
        <v>13732</v>
      </c>
      <c r="L311">
        <v>6626</v>
      </c>
      <c r="M311">
        <v>5984</v>
      </c>
      <c r="N311">
        <v>5936</v>
      </c>
      <c r="O311">
        <v>4701</v>
      </c>
      <c r="P311">
        <v>4618</v>
      </c>
      <c r="Q311">
        <v>4610</v>
      </c>
      <c r="R311">
        <v>4380</v>
      </c>
      <c r="S311">
        <v>2833</v>
      </c>
      <c r="T311">
        <v>2587</v>
      </c>
      <c r="U311">
        <v>2258</v>
      </c>
      <c r="V311">
        <v>2077</v>
      </c>
      <c r="W311">
        <v>1960</v>
      </c>
      <c r="X311">
        <v>1893</v>
      </c>
      <c r="Y311">
        <v>1665</v>
      </c>
      <c r="Z311">
        <v>1487</v>
      </c>
      <c r="AA311">
        <v>1404</v>
      </c>
      <c r="AB311">
        <v>1386</v>
      </c>
      <c r="AC311">
        <v>1330</v>
      </c>
      <c r="AD311">
        <v>1248</v>
      </c>
      <c r="AE311">
        <v>1086</v>
      </c>
      <c r="AF311">
        <v>955</v>
      </c>
      <c r="AG311">
        <v>944</v>
      </c>
      <c r="AH311">
        <v>916</v>
      </c>
      <c r="AI311">
        <v>820</v>
      </c>
      <c r="AJ311">
        <v>703</v>
      </c>
      <c r="AK311">
        <v>668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1176767</v>
      </c>
    </row>
    <row r="312" spans="1:51" hidden="1" x14ac:dyDescent="0.2">
      <c r="A312" t="s">
        <v>19</v>
      </c>
      <c r="C312">
        <v>310</v>
      </c>
      <c r="D312">
        <v>22</v>
      </c>
      <c r="E312" t="s">
        <v>393</v>
      </c>
      <c r="F312">
        <v>2014</v>
      </c>
      <c r="H312">
        <v>533237</v>
      </c>
      <c r="I312">
        <v>321516</v>
      </c>
      <c r="J312">
        <v>181410</v>
      </c>
      <c r="K312">
        <v>8408</v>
      </c>
      <c r="L312">
        <v>6934</v>
      </c>
      <c r="M312">
        <v>6830</v>
      </c>
      <c r="N312">
        <v>5879</v>
      </c>
      <c r="O312">
        <v>5395</v>
      </c>
      <c r="P312">
        <v>4127</v>
      </c>
      <c r="Q312">
        <v>3315</v>
      </c>
      <c r="R312">
        <v>3290</v>
      </c>
      <c r="S312">
        <v>2746</v>
      </c>
      <c r="T312">
        <v>2334</v>
      </c>
      <c r="U312">
        <v>2261</v>
      </c>
      <c r="V312">
        <v>2188</v>
      </c>
      <c r="W312">
        <v>1854</v>
      </c>
      <c r="X312">
        <v>1601</v>
      </c>
      <c r="Y312">
        <v>1556</v>
      </c>
      <c r="Z312">
        <v>1486</v>
      </c>
      <c r="AA312">
        <v>1233</v>
      </c>
      <c r="AB312">
        <v>1069</v>
      </c>
      <c r="AC312">
        <v>798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1099467</v>
      </c>
    </row>
    <row r="313" spans="1:51" hidden="1" x14ac:dyDescent="0.2">
      <c r="A313" t="s">
        <v>19</v>
      </c>
      <c r="C313">
        <v>311</v>
      </c>
      <c r="D313">
        <v>21</v>
      </c>
      <c r="E313" t="s">
        <v>394</v>
      </c>
      <c r="F313">
        <v>2014</v>
      </c>
      <c r="H313">
        <v>365671</v>
      </c>
      <c r="I313">
        <v>344729</v>
      </c>
      <c r="J313">
        <v>340109</v>
      </c>
      <c r="K313">
        <v>15313</v>
      </c>
      <c r="L313">
        <v>13014</v>
      </c>
      <c r="M313">
        <v>8537</v>
      </c>
      <c r="N313">
        <v>4915</v>
      </c>
      <c r="O313">
        <v>4089</v>
      </c>
      <c r="P313">
        <v>3008</v>
      </c>
      <c r="Q313">
        <v>2773</v>
      </c>
      <c r="R313">
        <v>2625</v>
      </c>
      <c r="S313">
        <v>2378</v>
      </c>
      <c r="T313">
        <v>2325</v>
      </c>
      <c r="U313">
        <v>2217</v>
      </c>
      <c r="V313">
        <v>2178</v>
      </c>
      <c r="W313">
        <v>1625</v>
      </c>
      <c r="X313">
        <v>1271</v>
      </c>
      <c r="Y313">
        <v>1234</v>
      </c>
      <c r="Z313">
        <v>1177</v>
      </c>
      <c r="AA313">
        <v>936</v>
      </c>
      <c r="AB313">
        <v>809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1120933</v>
      </c>
    </row>
    <row r="314" spans="1:51" hidden="1" x14ac:dyDescent="0.2">
      <c r="A314" t="s">
        <v>20</v>
      </c>
      <c r="C314">
        <v>312</v>
      </c>
      <c r="D314">
        <v>18</v>
      </c>
      <c r="E314" t="s">
        <v>395</v>
      </c>
      <c r="F314">
        <v>2014</v>
      </c>
      <c r="H314">
        <v>658130</v>
      </c>
      <c r="I314">
        <v>366389</v>
      </c>
      <c r="J314">
        <v>106585</v>
      </c>
      <c r="K314">
        <v>40016</v>
      </c>
      <c r="L314">
        <v>14944</v>
      </c>
      <c r="M314">
        <v>11981</v>
      </c>
      <c r="N314">
        <v>8788</v>
      </c>
      <c r="O314">
        <v>6918</v>
      </c>
      <c r="P314">
        <v>6686</v>
      </c>
      <c r="Q314">
        <v>5364</v>
      </c>
      <c r="R314">
        <v>5232</v>
      </c>
      <c r="S314">
        <v>5025</v>
      </c>
      <c r="T314">
        <v>3924</v>
      </c>
      <c r="U314">
        <v>3750</v>
      </c>
      <c r="V314">
        <v>3729</v>
      </c>
      <c r="W314">
        <v>3395</v>
      </c>
      <c r="X314">
        <v>3007</v>
      </c>
      <c r="Y314">
        <v>2943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1256806</v>
      </c>
    </row>
    <row r="315" spans="1:51" hidden="1" x14ac:dyDescent="0.2">
      <c r="A315" t="s">
        <v>20</v>
      </c>
      <c r="C315">
        <v>313</v>
      </c>
      <c r="D315">
        <v>9</v>
      </c>
      <c r="E315" t="s">
        <v>396</v>
      </c>
      <c r="F315">
        <v>2014</v>
      </c>
      <c r="H315">
        <v>584932</v>
      </c>
      <c r="I315">
        <v>276853</v>
      </c>
      <c r="J315">
        <v>16839</v>
      </c>
      <c r="K315">
        <v>14148</v>
      </c>
      <c r="L315">
        <v>13492</v>
      </c>
      <c r="M315">
        <v>11387</v>
      </c>
      <c r="N315">
        <v>5164</v>
      </c>
      <c r="O315">
        <v>4398</v>
      </c>
      <c r="P315">
        <v>2538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929751</v>
      </c>
    </row>
    <row r="316" spans="1:51" hidden="1" x14ac:dyDescent="0.2">
      <c r="A316" t="s">
        <v>20</v>
      </c>
      <c r="C316">
        <v>314</v>
      </c>
      <c r="D316">
        <v>13</v>
      </c>
      <c r="E316" t="s">
        <v>397</v>
      </c>
      <c r="F316">
        <v>2014</v>
      </c>
      <c r="H316">
        <v>595756</v>
      </c>
      <c r="I316">
        <v>301017</v>
      </c>
      <c r="J316">
        <v>176912</v>
      </c>
      <c r="K316">
        <v>13977</v>
      </c>
      <c r="L316">
        <v>11293</v>
      </c>
      <c r="M316">
        <v>10778</v>
      </c>
      <c r="N316">
        <v>4018</v>
      </c>
      <c r="O316">
        <v>3991</v>
      </c>
      <c r="P316">
        <v>3727</v>
      </c>
      <c r="Q316">
        <v>2938</v>
      </c>
      <c r="R316">
        <v>2330</v>
      </c>
      <c r="S316">
        <v>2313</v>
      </c>
      <c r="T316">
        <v>2054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1131104</v>
      </c>
    </row>
    <row r="317" spans="1:51" hidden="1" x14ac:dyDescent="0.2">
      <c r="A317" t="s">
        <v>20</v>
      </c>
      <c r="C317">
        <v>315</v>
      </c>
      <c r="D317">
        <v>13</v>
      </c>
      <c r="E317" t="s">
        <v>398</v>
      </c>
      <c r="F317">
        <v>2014</v>
      </c>
      <c r="H317">
        <v>488182</v>
      </c>
      <c r="I317">
        <v>254347</v>
      </c>
      <c r="J317">
        <v>206288</v>
      </c>
      <c r="K317">
        <v>11740</v>
      </c>
      <c r="L317">
        <v>10423</v>
      </c>
      <c r="M317">
        <v>10386</v>
      </c>
      <c r="N317">
        <v>8038</v>
      </c>
      <c r="O317">
        <v>5581</v>
      </c>
      <c r="P317">
        <v>2979</v>
      </c>
      <c r="Q317">
        <v>2932</v>
      </c>
      <c r="R317">
        <v>2506</v>
      </c>
      <c r="S317">
        <v>1885</v>
      </c>
      <c r="T317">
        <v>1178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1006465</v>
      </c>
    </row>
    <row r="318" spans="1:51" hidden="1" x14ac:dyDescent="0.2">
      <c r="A318" t="s">
        <v>20</v>
      </c>
      <c r="C318">
        <v>316</v>
      </c>
      <c r="D318">
        <v>16</v>
      </c>
      <c r="E318" t="s">
        <v>399</v>
      </c>
      <c r="F318">
        <v>2014</v>
      </c>
      <c r="H318">
        <v>499428</v>
      </c>
      <c r="I318">
        <v>260232</v>
      </c>
      <c r="J318">
        <v>188841</v>
      </c>
      <c r="K318">
        <v>53134</v>
      </c>
      <c r="L318">
        <v>15666</v>
      </c>
      <c r="M318">
        <v>10666</v>
      </c>
      <c r="N318">
        <v>7410</v>
      </c>
      <c r="O318">
        <v>7036</v>
      </c>
      <c r="P318">
        <v>5387</v>
      </c>
      <c r="Q318">
        <v>4375</v>
      </c>
      <c r="R318">
        <v>4112</v>
      </c>
      <c r="S318">
        <v>3633</v>
      </c>
      <c r="T318">
        <v>2169</v>
      </c>
      <c r="U318">
        <v>1635</v>
      </c>
      <c r="V318">
        <v>1058</v>
      </c>
      <c r="W318">
        <v>968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1065750</v>
      </c>
    </row>
    <row r="319" spans="1:51" hidden="1" x14ac:dyDescent="0.2">
      <c r="A319" t="s">
        <v>20</v>
      </c>
      <c r="C319">
        <v>317</v>
      </c>
      <c r="D319">
        <v>13</v>
      </c>
      <c r="E319" t="s">
        <v>400</v>
      </c>
      <c r="F319">
        <v>2014</v>
      </c>
      <c r="H319">
        <v>632930</v>
      </c>
      <c r="I319">
        <v>300034</v>
      </c>
      <c r="J319">
        <v>31617</v>
      </c>
      <c r="K319">
        <v>11533</v>
      </c>
      <c r="L319">
        <v>9480</v>
      </c>
      <c r="M319">
        <v>6917</v>
      </c>
      <c r="N319">
        <v>5774</v>
      </c>
      <c r="O319">
        <v>4520</v>
      </c>
      <c r="P319">
        <v>3722</v>
      </c>
      <c r="Q319">
        <v>3047</v>
      </c>
      <c r="R319">
        <v>1412</v>
      </c>
      <c r="S319">
        <v>1378</v>
      </c>
      <c r="T319">
        <v>1327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1013691</v>
      </c>
    </row>
    <row r="320" spans="1:51" hidden="1" x14ac:dyDescent="0.2">
      <c r="A320" t="s">
        <v>20</v>
      </c>
      <c r="C320">
        <v>318</v>
      </c>
      <c r="D320">
        <v>17</v>
      </c>
      <c r="E320" t="s">
        <v>401</v>
      </c>
      <c r="F320">
        <v>2014</v>
      </c>
      <c r="H320">
        <v>863358</v>
      </c>
      <c r="I320">
        <v>324013</v>
      </c>
      <c r="J320">
        <v>55118</v>
      </c>
      <c r="K320">
        <v>15597</v>
      </c>
      <c r="L320">
        <v>8345</v>
      </c>
      <c r="M320">
        <v>5193</v>
      </c>
      <c r="N320">
        <v>5020</v>
      </c>
      <c r="O320">
        <v>4856</v>
      </c>
      <c r="P320">
        <v>4599</v>
      </c>
      <c r="Q320">
        <v>2072</v>
      </c>
      <c r="R320">
        <v>1987</v>
      </c>
      <c r="S320">
        <v>1899</v>
      </c>
      <c r="T320">
        <v>1566</v>
      </c>
      <c r="U320">
        <v>1103</v>
      </c>
      <c r="V320">
        <v>893</v>
      </c>
      <c r="W320">
        <v>621</v>
      </c>
      <c r="X320">
        <v>566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1296806</v>
      </c>
    </row>
    <row r="321" spans="1:51" hidden="1" x14ac:dyDescent="0.2">
      <c r="A321" t="s">
        <v>20</v>
      </c>
      <c r="C321">
        <v>319</v>
      </c>
      <c r="D321">
        <v>20</v>
      </c>
      <c r="E321" t="s">
        <v>402</v>
      </c>
      <c r="F321">
        <v>2014</v>
      </c>
      <c r="H321">
        <v>642278</v>
      </c>
      <c r="I321">
        <v>358383</v>
      </c>
      <c r="J321">
        <v>19483</v>
      </c>
      <c r="K321">
        <v>8517</v>
      </c>
      <c r="L321">
        <v>3672</v>
      </c>
      <c r="M321">
        <v>3612</v>
      </c>
      <c r="N321">
        <v>3580</v>
      </c>
      <c r="O321">
        <v>3412</v>
      </c>
      <c r="P321">
        <v>3390</v>
      </c>
      <c r="Q321">
        <v>2572</v>
      </c>
      <c r="R321">
        <v>2512</v>
      </c>
      <c r="S321">
        <v>2160</v>
      </c>
      <c r="T321">
        <v>2104</v>
      </c>
      <c r="U321">
        <v>1845</v>
      </c>
      <c r="V321">
        <v>1227</v>
      </c>
      <c r="W321">
        <v>1187</v>
      </c>
      <c r="X321">
        <v>702</v>
      </c>
      <c r="Y321">
        <v>662</v>
      </c>
      <c r="Z321">
        <v>566</v>
      </c>
      <c r="AA321">
        <v>441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1062305</v>
      </c>
    </row>
    <row r="322" spans="1:51" hidden="1" x14ac:dyDescent="0.2">
      <c r="A322" t="s">
        <v>20</v>
      </c>
      <c r="C322">
        <v>320</v>
      </c>
      <c r="D322">
        <v>13</v>
      </c>
      <c r="E322" t="s">
        <v>403</v>
      </c>
      <c r="F322">
        <v>2014</v>
      </c>
      <c r="H322">
        <v>579825</v>
      </c>
      <c r="I322">
        <v>334357</v>
      </c>
      <c r="J322">
        <v>22090</v>
      </c>
      <c r="K322">
        <v>7013</v>
      </c>
      <c r="L322">
        <v>5935</v>
      </c>
      <c r="M322">
        <v>3969</v>
      </c>
      <c r="N322">
        <v>2071</v>
      </c>
      <c r="O322">
        <v>1792</v>
      </c>
      <c r="P322">
        <v>1787</v>
      </c>
      <c r="Q322">
        <v>1187</v>
      </c>
      <c r="R322">
        <v>960</v>
      </c>
      <c r="S322">
        <v>835</v>
      </c>
      <c r="T322">
        <v>611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962432</v>
      </c>
    </row>
    <row r="323" spans="1:51" hidden="1" x14ac:dyDescent="0.2">
      <c r="A323" t="s">
        <v>20</v>
      </c>
      <c r="C323">
        <v>321</v>
      </c>
      <c r="D323">
        <v>15</v>
      </c>
      <c r="E323" t="s">
        <v>404</v>
      </c>
      <c r="F323">
        <v>2014</v>
      </c>
      <c r="H323">
        <v>402407</v>
      </c>
      <c r="I323">
        <v>375191</v>
      </c>
      <c r="J323">
        <v>25150</v>
      </c>
      <c r="K323">
        <v>9458</v>
      </c>
      <c r="L323">
        <v>7286</v>
      </c>
      <c r="M323">
        <v>5934</v>
      </c>
      <c r="N323">
        <v>4767</v>
      </c>
      <c r="O323">
        <v>3726</v>
      </c>
      <c r="P323">
        <v>3376</v>
      </c>
      <c r="Q323">
        <v>3014</v>
      </c>
      <c r="R323">
        <v>1629</v>
      </c>
      <c r="S323">
        <v>1385</v>
      </c>
      <c r="T323">
        <v>951</v>
      </c>
      <c r="U323">
        <v>922</v>
      </c>
      <c r="V323">
        <v>745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845941</v>
      </c>
    </row>
    <row r="324" spans="1:51" hidden="1" x14ac:dyDescent="0.2">
      <c r="A324" t="s">
        <v>20</v>
      </c>
      <c r="C324">
        <v>322</v>
      </c>
      <c r="D324">
        <v>15</v>
      </c>
      <c r="E324" t="s">
        <v>405</v>
      </c>
      <c r="F324">
        <v>2014</v>
      </c>
      <c r="H324">
        <v>315059</v>
      </c>
      <c r="I324">
        <v>269655</v>
      </c>
      <c r="J324">
        <v>181272</v>
      </c>
      <c r="K324">
        <v>82549</v>
      </c>
      <c r="L324">
        <v>20037</v>
      </c>
      <c r="M324">
        <v>16935</v>
      </c>
      <c r="N324">
        <v>15303</v>
      </c>
      <c r="O324">
        <v>8410</v>
      </c>
      <c r="P324">
        <v>5792</v>
      </c>
      <c r="Q324">
        <v>4297</v>
      </c>
      <c r="R324">
        <v>3202</v>
      </c>
      <c r="S324">
        <v>3072</v>
      </c>
      <c r="T324">
        <v>2357</v>
      </c>
      <c r="U324">
        <v>1635</v>
      </c>
      <c r="V324">
        <v>917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930492</v>
      </c>
    </row>
    <row r="325" spans="1:51" hidden="1" x14ac:dyDescent="0.2">
      <c r="A325" t="s">
        <v>20</v>
      </c>
      <c r="C325">
        <v>323</v>
      </c>
      <c r="D325">
        <v>23</v>
      </c>
      <c r="E325" t="s">
        <v>406</v>
      </c>
      <c r="F325">
        <v>2014</v>
      </c>
      <c r="H325">
        <v>548537</v>
      </c>
      <c r="I325">
        <v>413031</v>
      </c>
      <c r="J325">
        <v>14604</v>
      </c>
      <c r="K325">
        <v>10523</v>
      </c>
      <c r="L325">
        <v>10395</v>
      </c>
      <c r="M325">
        <v>7204</v>
      </c>
      <c r="N325">
        <v>6523</v>
      </c>
      <c r="O325">
        <v>6186</v>
      </c>
      <c r="P325">
        <v>3673</v>
      </c>
      <c r="Q325">
        <v>3127</v>
      </c>
      <c r="R325">
        <v>2668</v>
      </c>
      <c r="S325">
        <v>2363</v>
      </c>
      <c r="T325">
        <v>2210</v>
      </c>
      <c r="U325">
        <v>2151</v>
      </c>
      <c r="V325">
        <v>1925</v>
      </c>
      <c r="W325">
        <v>1726</v>
      </c>
      <c r="X325">
        <v>1616</v>
      </c>
      <c r="Y325">
        <v>1105</v>
      </c>
      <c r="Z325">
        <v>1048</v>
      </c>
      <c r="AA325">
        <v>869</v>
      </c>
      <c r="AB325">
        <v>752</v>
      </c>
      <c r="AC325">
        <v>703</v>
      </c>
      <c r="AD325">
        <v>699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1043638</v>
      </c>
    </row>
    <row r="326" spans="1:51" hidden="1" x14ac:dyDescent="0.2">
      <c r="A326" t="s">
        <v>20</v>
      </c>
      <c r="C326">
        <v>324</v>
      </c>
      <c r="D326">
        <v>13</v>
      </c>
      <c r="E326" t="s">
        <v>407</v>
      </c>
      <c r="F326">
        <v>2014</v>
      </c>
      <c r="H326">
        <v>637874</v>
      </c>
      <c r="I326">
        <v>465891</v>
      </c>
      <c r="J326">
        <v>12546</v>
      </c>
      <c r="K326">
        <v>12149</v>
      </c>
      <c r="L326">
        <v>7974</v>
      </c>
      <c r="M326">
        <v>5184</v>
      </c>
      <c r="N326">
        <v>4970</v>
      </c>
      <c r="O326">
        <v>3518</v>
      </c>
      <c r="P326">
        <v>1869</v>
      </c>
      <c r="Q326">
        <v>1374</v>
      </c>
      <c r="R326">
        <v>1040</v>
      </c>
      <c r="S326">
        <v>1015</v>
      </c>
      <c r="T326">
        <v>910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1156314</v>
      </c>
    </row>
    <row r="327" spans="1:51" hidden="1" x14ac:dyDescent="0.2">
      <c r="A327" t="s">
        <v>20</v>
      </c>
      <c r="C327">
        <v>325</v>
      </c>
      <c r="D327">
        <v>14</v>
      </c>
      <c r="E327" t="s">
        <v>408</v>
      </c>
      <c r="F327">
        <v>2014</v>
      </c>
      <c r="H327">
        <v>414791</v>
      </c>
      <c r="I327">
        <v>339573</v>
      </c>
      <c r="J327">
        <v>159980</v>
      </c>
      <c r="K327">
        <v>15234</v>
      </c>
      <c r="L327">
        <v>12185</v>
      </c>
      <c r="M327">
        <v>11352</v>
      </c>
      <c r="N327">
        <v>11239</v>
      </c>
      <c r="O327">
        <v>8658</v>
      </c>
      <c r="P327">
        <v>7300</v>
      </c>
      <c r="Q327">
        <v>5776</v>
      </c>
      <c r="R327">
        <v>5251</v>
      </c>
      <c r="S327">
        <v>4372</v>
      </c>
      <c r="T327">
        <v>4332</v>
      </c>
      <c r="U327">
        <v>3976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1004019</v>
      </c>
    </row>
    <row r="328" spans="1:51" hidden="1" x14ac:dyDescent="0.2">
      <c r="A328" t="s">
        <v>20</v>
      </c>
      <c r="C328">
        <v>326</v>
      </c>
      <c r="D328">
        <v>14</v>
      </c>
      <c r="E328" t="s">
        <v>409</v>
      </c>
      <c r="F328">
        <v>2014</v>
      </c>
      <c r="H328">
        <v>711772</v>
      </c>
      <c r="I328">
        <v>312733</v>
      </c>
      <c r="J328">
        <v>17703</v>
      </c>
      <c r="K328">
        <v>16469</v>
      </c>
      <c r="L328">
        <v>7186</v>
      </c>
      <c r="M328">
        <v>5794</v>
      </c>
      <c r="N328">
        <v>5198</v>
      </c>
      <c r="O328">
        <v>5031</v>
      </c>
      <c r="P328">
        <v>3306</v>
      </c>
      <c r="Q328">
        <v>2825</v>
      </c>
      <c r="R328">
        <v>2358</v>
      </c>
      <c r="S328">
        <v>2058</v>
      </c>
      <c r="T328">
        <v>1890</v>
      </c>
      <c r="U328">
        <v>1264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1095587</v>
      </c>
    </row>
    <row r="329" spans="1:51" hidden="1" x14ac:dyDescent="0.2">
      <c r="A329" t="s">
        <v>20</v>
      </c>
      <c r="C329">
        <v>327</v>
      </c>
      <c r="D329">
        <v>14</v>
      </c>
      <c r="E329" t="s">
        <v>410</v>
      </c>
      <c r="F329">
        <v>2014</v>
      </c>
      <c r="H329">
        <v>713515</v>
      </c>
      <c r="I329">
        <v>303464</v>
      </c>
      <c r="J329">
        <v>15085</v>
      </c>
      <c r="K329">
        <v>13511</v>
      </c>
      <c r="L329">
        <v>8552</v>
      </c>
      <c r="M329">
        <v>7104</v>
      </c>
      <c r="N329">
        <v>4855</v>
      </c>
      <c r="O329">
        <v>3764</v>
      </c>
      <c r="P329">
        <v>2631</v>
      </c>
      <c r="Q329">
        <v>2321</v>
      </c>
      <c r="R329">
        <v>1206</v>
      </c>
      <c r="S329">
        <v>1041</v>
      </c>
      <c r="T329">
        <v>831</v>
      </c>
      <c r="U329">
        <v>718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1078598</v>
      </c>
    </row>
    <row r="330" spans="1:51" hidden="1" x14ac:dyDescent="0.2">
      <c r="A330" t="s">
        <v>20</v>
      </c>
      <c r="C330">
        <v>328</v>
      </c>
      <c r="D330">
        <v>12</v>
      </c>
      <c r="E330" t="s">
        <v>411</v>
      </c>
      <c r="F330">
        <v>2014</v>
      </c>
      <c r="H330">
        <v>488747</v>
      </c>
      <c r="I330">
        <v>401286</v>
      </c>
      <c r="J330">
        <v>220881</v>
      </c>
      <c r="K330">
        <v>17563</v>
      </c>
      <c r="L330">
        <v>15889</v>
      </c>
      <c r="M330">
        <v>14906</v>
      </c>
      <c r="N330">
        <v>13924</v>
      </c>
      <c r="O330">
        <v>12883</v>
      </c>
      <c r="P330">
        <v>12366</v>
      </c>
      <c r="Q330">
        <v>7557</v>
      </c>
      <c r="R330">
        <v>6737</v>
      </c>
      <c r="S330">
        <v>6380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1219119</v>
      </c>
    </row>
    <row r="331" spans="1:51" hidden="1" x14ac:dyDescent="0.2">
      <c r="A331" t="s">
        <v>20</v>
      </c>
      <c r="C331">
        <v>329</v>
      </c>
      <c r="D331">
        <v>17</v>
      </c>
      <c r="E331" t="s">
        <v>412</v>
      </c>
      <c r="F331">
        <v>2014</v>
      </c>
      <c r="H331">
        <v>580508</v>
      </c>
      <c r="I331">
        <v>199363</v>
      </c>
      <c r="J331">
        <v>175344</v>
      </c>
      <c r="K331">
        <v>29998</v>
      </c>
      <c r="L331">
        <v>16399</v>
      </c>
      <c r="M331">
        <v>15811</v>
      </c>
      <c r="N331">
        <v>13008</v>
      </c>
      <c r="O331">
        <v>11183</v>
      </c>
      <c r="P331">
        <v>10316</v>
      </c>
      <c r="Q331">
        <v>9875</v>
      </c>
      <c r="R331">
        <v>6146</v>
      </c>
      <c r="S331">
        <v>4817</v>
      </c>
      <c r="T331">
        <v>3960</v>
      </c>
      <c r="U331">
        <v>3200</v>
      </c>
      <c r="V331">
        <v>2731</v>
      </c>
      <c r="W331">
        <v>2596</v>
      </c>
      <c r="X331">
        <v>2017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1087272</v>
      </c>
    </row>
    <row r="332" spans="1:51" hidden="1" x14ac:dyDescent="0.2">
      <c r="A332" t="s">
        <v>20</v>
      </c>
      <c r="C332">
        <v>330</v>
      </c>
      <c r="D332">
        <v>9</v>
      </c>
      <c r="E332" t="s">
        <v>413</v>
      </c>
      <c r="F332">
        <v>2014</v>
      </c>
      <c r="H332">
        <v>660373</v>
      </c>
      <c r="I332">
        <v>423611</v>
      </c>
      <c r="J332">
        <v>33743</v>
      </c>
      <c r="K332">
        <v>26685</v>
      </c>
      <c r="L332">
        <v>20690</v>
      </c>
      <c r="M332">
        <v>11449</v>
      </c>
      <c r="N332">
        <v>6680</v>
      </c>
      <c r="O332">
        <v>5442</v>
      </c>
      <c r="P332">
        <v>4529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1193202</v>
      </c>
    </row>
    <row r="333" spans="1:51" hidden="1" x14ac:dyDescent="0.2">
      <c r="A333" t="s">
        <v>20</v>
      </c>
      <c r="C333">
        <v>331</v>
      </c>
      <c r="D333">
        <v>7</v>
      </c>
      <c r="E333" t="s">
        <v>414</v>
      </c>
      <c r="F333">
        <v>2014</v>
      </c>
      <c r="H333">
        <v>577433</v>
      </c>
      <c r="I333">
        <v>485517</v>
      </c>
      <c r="J333">
        <v>34404</v>
      </c>
      <c r="K333">
        <v>27886</v>
      </c>
      <c r="L333">
        <v>21760</v>
      </c>
      <c r="M333">
        <v>13647</v>
      </c>
      <c r="N333">
        <v>10541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1171188</v>
      </c>
    </row>
    <row r="334" spans="1:51" hidden="1" x14ac:dyDescent="0.2">
      <c r="A334" t="s">
        <v>20</v>
      </c>
      <c r="C334">
        <v>332</v>
      </c>
      <c r="D334">
        <v>15</v>
      </c>
      <c r="E334" t="s">
        <v>415</v>
      </c>
      <c r="F334">
        <v>2014</v>
      </c>
      <c r="H334">
        <v>703236</v>
      </c>
      <c r="I334">
        <v>386379</v>
      </c>
      <c r="J334">
        <v>21593</v>
      </c>
      <c r="K334">
        <v>20034</v>
      </c>
      <c r="L334">
        <v>12675</v>
      </c>
      <c r="M334">
        <v>5939</v>
      </c>
      <c r="N334">
        <v>4971</v>
      </c>
      <c r="O334">
        <v>4467</v>
      </c>
      <c r="P334">
        <v>3263</v>
      </c>
      <c r="Q334">
        <v>3069</v>
      </c>
      <c r="R334">
        <v>1692</v>
      </c>
      <c r="S334">
        <v>1564</v>
      </c>
      <c r="T334">
        <v>1291</v>
      </c>
      <c r="U334">
        <v>1240</v>
      </c>
      <c r="V334">
        <v>1216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1172629</v>
      </c>
    </row>
    <row r="335" spans="1:51" hidden="1" x14ac:dyDescent="0.2">
      <c r="A335" t="s">
        <v>20</v>
      </c>
      <c r="C335">
        <v>333</v>
      </c>
      <c r="D335">
        <v>13</v>
      </c>
      <c r="E335" t="s">
        <v>416</v>
      </c>
      <c r="F335">
        <v>2014</v>
      </c>
      <c r="H335">
        <v>644794</v>
      </c>
      <c r="I335">
        <v>249089</v>
      </c>
      <c r="J335">
        <v>17182</v>
      </c>
      <c r="K335">
        <v>14579</v>
      </c>
      <c r="L335">
        <v>12479</v>
      </c>
      <c r="M335">
        <v>10407</v>
      </c>
      <c r="N335">
        <v>10160</v>
      </c>
      <c r="O335">
        <v>6418</v>
      </c>
      <c r="P335">
        <v>5186</v>
      </c>
      <c r="Q335">
        <v>4897</v>
      </c>
      <c r="R335">
        <v>2977</v>
      </c>
      <c r="S335">
        <v>2559</v>
      </c>
      <c r="T335">
        <v>1392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982119</v>
      </c>
    </row>
    <row r="336" spans="1:51" hidden="1" x14ac:dyDescent="0.2">
      <c r="A336" t="s">
        <v>20</v>
      </c>
      <c r="C336">
        <v>334</v>
      </c>
      <c r="D336">
        <v>12</v>
      </c>
      <c r="E336" t="s">
        <v>417</v>
      </c>
      <c r="F336">
        <v>2014</v>
      </c>
      <c r="H336">
        <v>630317</v>
      </c>
      <c r="I336">
        <v>384053</v>
      </c>
      <c r="J336">
        <v>19698</v>
      </c>
      <c r="K336">
        <v>15088</v>
      </c>
      <c r="L336">
        <v>11982</v>
      </c>
      <c r="M336">
        <v>10344</v>
      </c>
      <c r="N336">
        <v>7110</v>
      </c>
      <c r="O336">
        <v>6737</v>
      </c>
      <c r="P336">
        <v>5909</v>
      </c>
      <c r="Q336">
        <v>5684</v>
      </c>
      <c r="R336">
        <v>5374</v>
      </c>
      <c r="S336">
        <v>1794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1104090</v>
      </c>
    </row>
    <row r="337" spans="1:51" hidden="1" x14ac:dyDescent="0.2">
      <c r="A337" t="s">
        <v>20</v>
      </c>
      <c r="C337">
        <v>335</v>
      </c>
      <c r="D337">
        <v>13</v>
      </c>
      <c r="E337" t="s">
        <v>418</v>
      </c>
      <c r="F337">
        <v>2014</v>
      </c>
      <c r="H337">
        <v>644822</v>
      </c>
      <c r="I337">
        <v>444040</v>
      </c>
      <c r="J337">
        <v>16981</v>
      </c>
      <c r="K337">
        <v>12760</v>
      </c>
      <c r="L337">
        <v>10862</v>
      </c>
      <c r="M337">
        <v>7559</v>
      </c>
      <c r="N337">
        <v>5091</v>
      </c>
      <c r="O337">
        <v>4822</v>
      </c>
      <c r="P337">
        <v>2307</v>
      </c>
      <c r="Q337">
        <v>1825</v>
      </c>
      <c r="R337">
        <v>1713</v>
      </c>
      <c r="S337">
        <v>1168</v>
      </c>
      <c r="T337">
        <v>1010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1154960</v>
      </c>
    </row>
    <row r="338" spans="1:51" hidden="1" x14ac:dyDescent="0.2">
      <c r="A338" t="s">
        <v>20</v>
      </c>
      <c r="C338">
        <v>336</v>
      </c>
      <c r="D338">
        <v>7</v>
      </c>
      <c r="E338" t="s">
        <v>419</v>
      </c>
      <c r="F338">
        <v>2014</v>
      </c>
      <c r="H338">
        <v>676102</v>
      </c>
      <c r="I338">
        <v>394556</v>
      </c>
      <c r="J338">
        <v>23587</v>
      </c>
      <c r="K338">
        <v>19064</v>
      </c>
      <c r="L338">
        <v>13617</v>
      </c>
      <c r="M338">
        <v>11602</v>
      </c>
      <c r="N338">
        <v>7836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1146364</v>
      </c>
    </row>
    <row r="339" spans="1:51" hidden="1" x14ac:dyDescent="0.2">
      <c r="A339" t="s">
        <v>21</v>
      </c>
      <c r="C339">
        <v>337</v>
      </c>
      <c r="D339">
        <v>7</v>
      </c>
      <c r="E339" t="s">
        <v>21</v>
      </c>
      <c r="F339">
        <v>2014</v>
      </c>
      <c r="H339">
        <v>163698</v>
      </c>
      <c r="I339">
        <v>121956</v>
      </c>
      <c r="J339">
        <v>7279</v>
      </c>
      <c r="K339">
        <v>7189</v>
      </c>
      <c r="L339">
        <v>4332</v>
      </c>
      <c r="M339">
        <v>2541</v>
      </c>
      <c r="N339">
        <v>1972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308967</v>
      </c>
    </row>
    <row r="340" spans="1:51" hidden="1" x14ac:dyDescent="0.2">
      <c r="A340" t="s">
        <v>22</v>
      </c>
      <c r="C340">
        <v>338</v>
      </c>
      <c r="D340">
        <v>15</v>
      </c>
      <c r="E340" t="s">
        <v>420</v>
      </c>
      <c r="F340">
        <v>2014</v>
      </c>
      <c r="H340">
        <v>628499</v>
      </c>
      <c r="I340">
        <v>305069</v>
      </c>
      <c r="J340">
        <v>204734</v>
      </c>
      <c r="K340">
        <v>43960</v>
      </c>
      <c r="L340">
        <v>23598</v>
      </c>
      <c r="M340">
        <v>13794</v>
      </c>
      <c r="N340">
        <v>11137</v>
      </c>
      <c r="O340">
        <v>8260</v>
      </c>
      <c r="P340">
        <v>3085</v>
      </c>
      <c r="Q340">
        <v>2966</v>
      </c>
      <c r="R340">
        <v>2642</v>
      </c>
      <c r="S340">
        <v>2441</v>
      </c>
      <c r="T340">
        <v>1597</v>
      </c>
      <c r="U340">
        <v>1596</v>
      </c>
      <c r="V340">
        <v>1062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1254440</v>
      </c>
    </row>
    <row r="341" spans="1:51" hidden="1" x14ac:dyDescent="0.2">
      <c r="A341" t="s">
        <v>22</v>
      </c>
      <c r="C341">
        <v>339</v>
      </c>
      <c r="D341">
        <v>34</v>
      </c>
      <c r="E341" t="s">
        <v>421</v>
      </c>
      <c r="F341">
        <v>2014</v>
      </c>
      <c r="H341">
        <v>406704</v>
      </c>
      <c r="I341">
        <v>307000</v>
      </c>
      <c r="J341">
        <v>86989</v>
      </c>
      <c r="K341">
        <v>24190</v>
      </c>
      <c r="L341">
        <v>23751</v>
      </c>
      <c r="M341">
        <v>17472</v>
      </c>
      <c r="N341">
        <v>14585</v>
      </c>
      <c r="O341">
        <v>6819</v>
      </c>
      <c r="P341">
        <v>4960</v>
      </c>
      <c r="Q341">
        <v>1589</v>
      </c>
      <c r="R341">
        <v>1494</v>
      </c>
      <c r="S341">
        <v>1198</v>
      </c>
      <c r="T341">
        <v>1145</v>
      </c>
      <c r="U341">
        <v>964</v>
      </c>
      <c r="V341">
        <v>870</v>
      </c>
      <c r="W341">
        <v>777</v>
      </c>
      <c r="X341">
        <v>712</v>
      </c>
      <c r="Y341">
        <v>600</v>
      </c>
      <c r="Z341">
        <v>569</v>
      </c>
      <c r="AA341">
        <v>559</v>
      </c>
      <c r="AB341">
        <v>502</v>
      </c>
      <c r="AC341">
        <v>475</v>
      </c>
      <c r="AD341">
        <v>0</v>
      </c>
      <c r="AE341">
        <v>472</v>
      </c>
      <c r="AF341">
        <v>469</v>
      </c>
      <c r="AG341">
        <v>457</v>
      </c>
      <c r="AH341">
        <v>414</v>
      </c>
      <c r="AI341">
        <v>387</v>
      </c>
      <c r="AJ341">
        <v>386</v>
      </c>
      <c r="AK341">
        <v>343</v>
      </c>
      <c r="AL341">
        <v>337</v>
      </c>
      <c r="AM341">
        <v>311</v>
      </c>
      <c r="AN341">
        <v>302</v>
      </c>
      <c r="AO341">
        <v>297</v>
      </c>
      <c r="AP341">
        <v>257</v>
      </c>
      <c r="AQ341">
        <v>234</v>
      </c>
      <c r="AR341">
        <v>216</v>
      </c>
      <c r="AS341">
        <v>211</v>
      </c>
      <c r="AT341">
        <v>208</v>
      </c>
      <c r="AU341">
        <v>0</v>
      </c>
      <c r="AV341">
        <v>206</v>
      </c>
      <c r="AW341">
        <v>0</v>
      </c>
      <c r="AX341">
        <v>0</v>
      </c>
      <c r="AY341">
        <v>909431</v>
      </c>
    </row>
    <row r="342" spans="1:51" hidden="1" x14ac:dyDescent="0.2">
      <c r="A342" t="s">
        <v>22</v>
      </c>
      <c r="C342">
        <v>340</v>
      </c>
      <c r="D342">
        <v>35</v>
      </c>
      <c r="E342" t="s">
        <v>422</v>
      </c>
      <c r="F342">
        <v>2014</v>
      </c>
      <c r="H342">
        <v>434540</v>
      </c>
      <c r="I342">
        <v>298965</v>
      </c>
      <c r="J342">
        <v>258262</v>
      </c>
      <c r="K342">
        <v>24276</v>
      </c>
      <c r="L342">
        <v>20229</v>
      </c>
      <c r="M342">
        <v>17208</v>
      </c>
      <c r="N342">
        <v>1708</v>
      </c>
      <c r="O342">
        <v>1647</v>
      </c>
      <c r="P342">
        <v>1529</v>
      </c>
      <c r="Q342">
        <v>1289</v>
      </c>
      <c r="R342">
        <v>1180</v>
      </c>
      <c r="S342">
        <v>976</v>
      </c>
      <c r="T342">
        <v>865</v>
      </c>
      <c r="U342">
        <v>636</v>
      </c>
      <c r="V342">
        <v>533</v>
      </c>
      <c r="W342">
        <v>518</v>
      </c>
      <c r="X342">
        <v>511</v>
      </c>
      <c r="Y342">
        <v>498</v>
      </c>
      <c r="Z342">
        <v>427</v>
      </c>
      <c r="AA342">
        <v>416</v>
      </c>
      <c r="AB342">
        <v>373</v>
      </c>
      <c r="AC342">
        <v>372</v>
      </c>
      <c r="AD342">
        <v>328</v>
      </c>
      <c r="AE342">
        <v>274</v>
      </c>
      <c r="AF342">
        <v>271</v>
      </c>
      <c r="AG342">
        <v>267</v>
      </c>
      <c r="AH342">
        <v>259</v>
      </c>
      <c r="AI342">
        <v>257</v>
      </c>
      <c r="AJ342">
        <v>253</v>
      </c>
      <c r="AK342">
        <v>244</v>
      </c>
      <c r="AL342">
        <v>233</v>
      </c>
      <c r="AM342">
        <v>232</v>
      </c>
      <c r="AN342">
        <v>221</v>
      </c>
      <c r="AO342">
        <v>215</v>
      </c>
      <c r="AP342">
        <v>203</v>
      </c>
      <c r="AQ342">
        <v>192</v>
      </c>
      <c r="AR342">
        <v>188</v>
      </c>
      <c r="AS342">
        <v>174</v>
      </c>
      <c r="AT342">
        <v>157</v>
      </c>
      <c r="AU342">
        <v>140</v>
      </c>
      <c r="AV342">
        <v>121</v>
      </c>
      <c r="AW342">
        <v>117</v>
      </c>
      <c r="AX342">
        <v>105</v>
      </c>
      <c r="AY342">
        <v>1071409</v>
      </c>
    </row>
    <row r="343" spans="1:51" hidden="1" x14ac:dyDescent="0.2">
      <c r="A343" t="s">
        <v>22</v>
      </c>
      <c r="C343">
        <v>341</v>
      </c>
      <c r="D343">
        <v>20</v>
      </c>
      <c r="E343" t="s">
        <v>423</v>
      </c>
      <c r="F343">
        <v>2014</v>
      </c>
      <c r="H343">
        <v>333296</v>
      </c>
      <c r="I343">
        <v>287455</v>
      </c>
      <c r="J343">
        <v>114798</v>
      </c>
      <c r="K343">
        <v>25981</v>
      </c>
      <c r="L343">
        <v>21959</v>
      </c>
      <c r="M343">
        <v>19553</v>
      </c>
      <c r="N343">
        <v>2531</v>
      </c>
      <c r="O343">
        <v>2019</v>
      </c>
      <c r="P343">
        <v>1528</v>
      </c>
      <c r="Q343">
        <v>973</v>
      </c>
      <c r="R343">
        <v>805</v>
      </c>
      <c r="S343">
        <v>697</v>
      </c>
      <c r="T343">
        <v>579</v>
      </c>
      <c r="U343">
        <v>391</v>
      </c>
      <c r="V343">
        <v>390</v>
      </c>
      <c r="W343">
        <v>0</v>
      </c>
      <c r="X343">
        <v>369</v>
      </c>
      <c r="Y343">
        <v>336</v>
      </c>
      <c r="Z343">
        <v>324</v>
      </c>
      <c r="AA343">
        <v>261</v>
      </c>
      <c r="AB343">
        <v>259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814504</v>
      </c>
    </row>
    <row r="344" spans="1:51" hidden="1" x14ac:dyDescent="0.2">
      <c r="A344" t="s">
        <v>22</v>
      </c>
      <c r="C344">
        <v>342</v>
      </c>
      <c r="D344">
        <v>22</v>
      </c>
      <c r="E344" t="s">
        <v>424</v>
      </c>
      <c r="F344">
        <v>2014</v>
      </c>
      <c r="H344">
        <v>545820</v>
      </c>
      <c r="I344">
        <v>443174</v>
      </c>
      <c r="J344">
        <v>187094</v>
      </c>
      <c r="K344">
        <v>39015</v>
      </c>
      <c r="L344">
        <v>27676</v>
      </c>
      <c r="M344">
        <v>18963</v>
      </c>
      <c r="N344">
        <v>4977</v>
      </c>
      <c r="O344">
        <v>4743</v>
      </c>
      <c r="P344">
        <v>2782</v>
      </c>
      <c r="Q344">
        <v>2622</v>
      </c>
      <c r="R344">
        <v>1726</v>
      </c>
      <c r="S344">
        <v>1301</v>
      </c>
      <c r="T344">
        <v>1165</v>
      </c>
      <c r="U344">
        <v>870</v>
      </c>
      <c r="V344">
        <v>811</v>
      </c>
      <c r="W344">
        <v>791</v>
      </c>
      <c r="X344">
        <v>781</v>
      </c>
      <c r="Y344">
        <v>699</v>
      </c>
      <c r="Z344">
        <v>497</v>
      </c>
      <c r="AA344">
        <v>477</v>
      </c>
      <c r="AB344">
        <v>372</v>
      </c>
      <c r="AC344">
        <v>291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1286647</v>
      </c>
    </row>
    <row r="345" spans="1:51" hidden="1" x14ac:dyDescent="0.2">
      <c r="A345" t="s">
        <v>22</v>
      </c>
      <c r="C345">
        <v>343</v>
      </c>
      <c r="D345">
        <v>12</v>
      </c>
      <c r="E345" t="s">
        <v>425</v>
      </c>
      <c r="F345">
        <v>2014</v>
      </c>
      <c r="H345">
        <v>499395</v>
      </c>
      <c r="I345">
        <v>352529</v>
      </c>
      <c r="J345">
        <v>207080</v>
      </c>
      <c r="K345">
        <v>33313</v>
      </c>
      <c r="L345">
        <v>17736</v>
      </c>
      <c r="M345">
        <v>6807</v>
      </c>
      <c r="N345">
        <v>3618</v>
      </c>
      <c r="O345">
        <v>2895</v>
      </c>
      <c r="P345">
        <v>1479</v>
      </c>
      <c r="Q345">
        <v>1368</v>
      </c>
      <c r="R345">
        <v>1090</v>
      </c>
      <c r="S345">
        <v>1089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1128399</v>
      </c>
    </row>
    <row r="346" spans="1:51" hidden="1" x14ac:dyDescent="0.2">
      <c r="A346" t="s">
        <v>22</v>
      </c>
      <c r="C346">
        <v>344</v>
      </c>
      <c r="D346">
        <v>28</v>
      </c>
      <c r="E346" t="s">
        <v>426</v>
      </c>
      <c r="F346">
        <v>2014</v>
      </c>
      <c r="H346">
        <v>493534</v>
      </c>
      <c r="I346">
        <v>252768</v>
      </c>
      <c r="J346">
        <v>233762</v>
      </c>
      <c r="K346">
        <v>56337</v>
      </c>
      <c r="L346">
        <v>10370</v>
      </c>
      <c r="M346">
        <v>7354</v>
      </c>
      <c r="N346">
        <v>6570</v>
      </c>
      <c r="O346">
        <v>6025</v>
      </c>
      <c r="P346">
        <v>4021</v>
      </c>
      <c r="Q346">
        <v>2198</v>
      </c>
      <c r="R346">
        <v>1955</v>
      </c>
      <c r="S346">
        <v>1556</v>
      </c>
      <c r="T346">
        <v>1458</v>
      </c>
      <c r="U346">
        <v>1434</v>
      </c>
      <c r="V346">
        <v>1023</v>
      </c>
      <c r="W346">
        <v>920</v>
      </c>
      <c r="X346">
        <v>918</v>
      </c>
      <c r="Y346">
        <v>804</v>
      </c>
      <c r="Z346">
        <v>783</v>
      </c>
      <c r="AA346">
        <v>747</v>
      </c>
      <c r="AB346">
        <v>723</v>
      </c>
      <c r="AC346">
        <v>610</v>
      </c>
      <c r="AD346">
        <v>599</v>
      </c>
      <c r="AE346">
        <v>570</v>
      </c>
      <c r="AF346">
        <v>541</v>
      </c>
      <c r="AG346">
        <v>517</v>
      </c>
      <c r="AH346">
        <v>484</v>
      </c>
      <c r="AI346">
        <v>471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1089052</v>
      </c>
    </row>
    <row r="347" spans="1:51" hidden="1" x14ac:dyDescent="0.2">
      <c r="A347" t="s">
        <v>22</v>
      </c>
      <c r="C347">
        <v>345</v>
      </c>
      <c r="D347">
        <v>24</v>
      </c>
      <c r="E347" t="s">
        <v>427</v>
      </c>
      <c r="F347">
        <v>2014</v>
      </c>
      <c r="H347">
        <v>383719</v>
      </c>
      <c r="I347">
        <v>324326</v>
      </c>
      <c r="J347">
        <v>205896</v>
      </c>
      <c r="K347">
        <v>21650</v>
      </c>
      <c r="L347">
        <v>7100</v>
      </c>
      <c r="M347">
        <v>6056</v>
      </c>
      <c r="N347">
        <v>4169</v>
      </c>
      <c r="O347">
        <v>3742</v>
      </c>
      <c r="P347">
        <v>3603</v>
      </c>
      <c r="Q347">
        <v>2791</v>
      </c>
      <c r="R347">
        <v>1708</v>
      </c>
      <c r="S347">
        <v>1293</v>
      </c>
      <c r="T347">
        <v>1052</v>
      </c>
      <c r="U347">
        <v>991</v>
      </c>
      <c r="V347">
        <v>828</v>
      </c>
      <c r="W347">
        <v>790</v>
      </c>
      <c r="X347">
        <v>764</v>
      </c>
      <c r="Y347">
        <v>745</v>
      </c>
      <c r="Z347">
        <v>581</v>
      </c>
      <c r="AA347">
        <v>561</v>
      </c>
      <c r="AB347">
        <v>558</v>
      </c>
      <c r="AC347">
        <v>496</v>
      </c>
      <c r="AD347">
        <v>491</v>
      </c>
      <c r="AE347">
        <v>430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974340</v>
      </c>
    </row>
    <row r="348" spans="1:51" hidden="1" x14ac:dyDescent="0.2">
      <c r="A348" t="s">
        <v>22</v>
      </c>
      <c r="C348">
        <v>346</v>
      </c>
      <c r="D348">
        <v>16</v>
      </c>
      <c r="E348" t="s">
        <v>428</v>
      </c>
      <c r="F348">
        <v>2014</v>
      </c>
      <c r="H348">
        <v>480491</v>
      </c>
      <c r="I348">
        <v>273900</v>
      </c>
      <c r="J348">
        <v>224963</v>
      </c>
      <c r="K348">
        <v>38885</v>
      </c>
      <c r="L348">
        <v>16020</v>
      </c>
      <c r="M348">
        <v>8618</v>
      </c>
      <c r="N348">
        <v>3875</v>
      </c>
      <c r="O348">
        <v>3665</v>
      </c>
      <c r="P348">
        <v>3033</v>
      </c>
      <c r="Q348">
        <v>2737</v>
      </c>
      <c r="R348">
        <v>2530</v>
      </c>
      <c r="S348">
        <v>2261</v>
      </c>
      <c r="T348">
        <v>2135</v>
      </c>
      <c r="U348">
        <v>2015</v>
      </c>
      <c r="V348">
        <v>1744</v>
      </c>
      <c r="W348">
        <v>1519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1068391</v>
      </c>
    </row>
    <row r="349" spans="1:51" hidden="1" x14ac:dyDescent="0.2">
      <c r="A349" t="s">
        <v>22</v>
      </c>
      <c r="C349">
        <v>347</v>
      </c>
      <c r="D349">
        <v>16</v>
      </c>
      <c r="E349" t="s">
        <v>429</v>
      </c>
      <c r="F349">
        <v>2014</v>
      </c>
      <c r="H349">
        <v>468194</v>
      </c>
      <c r="I349">
        <v>391048</v>
      </c>
      <c r="J349">
        <v>180297</v>
      </c>
      <c r="K349">
        <v>15455</v>
      </c>
      <c r="L349">
        <v>12693</v>
      </c>
      <c r="M349">
        <v>8180</v>
      </c>
      <c r="N349">
        <v>4934</v>
      </c>
      <c r="O349">
        <v>3905</v>
      </c>
      <c r="P349">
        <v>3164</v>
      </c>
      <c r="Q349">
        <v>2802</v>
      </c>
      <c r="R349">
        <v>2413</v>
      </c>
      <c r="S349">
        <v>2199</v>
      </c>
      <c r="T349">
        <v>1978</v>
      </c>
      <c r="U349">
        <v>1403</v>
      </c>
      <c r="V349">
        <v>1370</v>
      </c>
      <c r="W349">
        <v>1310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1101345</v>
      </c>
    </row>
    <row r="350" spans="1:51" hidden="1" x14ac:dyDescent="0.2">
      <c r="A350" t="s">
        <v>22</v>
      </c>
      <c r="C350">
        <v>348</v>
      </c>
      <c r="D350">
        <v>25</v>
      </c>
      <c r="E350" t="s">
        <v>430</v>
      </c>
      <c r="F350">
        <v>2014</v>
      </c>
      <c r="H350">
        <v>500751</v>
      </c>
      <c r="I350">
        <v>332145</v>
      </c>
      <c r="J350">
        <v>157954</v>
      </c>
      <c r="K350">
        <v>17854</v>
      </c>
      <c r="L350">
        <v>10708</v>
      </c>
      <c r="M350">
        <v>9595</v>
      </c>
      <c r="N350">
        <v>6278</v>
      </c>
      <c r="O350">
        <v>4688</v>
      </c>
      <c r="P350">
        <v>4328</v>
      </c>
      <c r="Q350">
        <v>3867</v>
      </c>
      <c r="R350">
        <v>2445</v>
      </c>
      <c r="S350">
        <v>1999</v>
      </c>
      <c r="T350">
        <v>1729</v>
      </c>
      <c r="U350">
        <v>1693</v>
      </c>
      <c r="V350">
        <v>1686</v>
      </c>
      <c r="W350">
        <v>1555</v>
      </c>
      <c r="X350">
        <v>1369</v>
      </c>
      <c r="Y350">
        <v>991</v>
      </c>
      <c r="Z350">
        <v>973</v>
      </c>
      <c r="AA350">
        <v>931</v>
      </c>
      <c r="AB350">
        <v>904</v>
      </c>
      <c r="AC350">
        <v>865</v>
      </c>
      <c r="AD350">
        <v>736</v>
      </c>
      <c r="AE350">
        <v>724</v>
      </c>
      <c r="AF350">
        <v>679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1067447</v>
      </c>
    </row>
    <row r="351" spans="1:51" hidden="1" x14ac:dyDescent="0.2">
      <c r="A351" t="s">
        <v>22</v>
      </c>
      <c r="C351">
        <v>349</v>
      </c>
      <c r="D351">
        <v>20</v>
      </c>
      <c r="E351" t="s">
        <v>431</v>
      </c>
      <c r="F351">
        <v>2014</v>
      </c>
      <c r="H351">
        <v>502721</v>
      </c>
      <c r="I351">
        <v>258877</v>
      </c>
      <c r="J351">
        <v>253332</v>
      </c>
      <c r="K351">
        <v>27717</v>
      </c>
      <c r="L351">
        <v>10263</v>
      </c>
      <c r="M351">
        <v>9304</v>
      </c>
      <c r="N351">
        <v>8059</v>
      </c>
      <c r="O351">
        <v>5573</v>
      </c>
      <c r="P351">
        <v>4331</v>
      </c>
      <c r="Q351">
        <v>2598</v>
      </c>
      <c r="R351">
        <v>2372</v>
      </c>
      <c r="S351">
        <v>1952</v>
      </c>
      <c r="T351">
        <v>1760</v>
      </c>
      <c r="U351">
        <v>1746</v>
      </c>
      <c r="V351">
        <v>1309</v>
      </c>
      <c r="W351">
        <v>1243</v>
      </c>
      <c r="X351">
        <v>910</v>
      </c>
      <c r="Y351">
        <v>798</v>
      </c>
      <c r="Z351">
        <v>668</v>
      </c>
      <c r="AA351">
        <v>513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1096046</v>
      </c>
    </row>
    <row r="352" spans="1:51" hidden="1" x14ac:dyDescent="0.2">
      <c r="A352" t="s">
        <v>22</v>
      </c>
      <c r="C352">
        <v>350</v>
      </c>
      <c r="D352">
        <v>21</v>
      </c>
      <c r="E352" t="s">
        <v>432</v>
      </c>
      <c r="F352">
        <v>2014</v>
      </c>
      <c r="H352">
        <v>482704</v>
      </c>
      <c r="I352">
        <v>289337</v>
      </c>
      <c r="J352">
        <v>209663</v>
      </c>
      <c r="K352">
        <v>21461</v>
      </c>
      <c r="L352">
        <v>17408</v>
      </c>
      <c r="M352">
        <v>11440</v>
      </c>
      <c r="N352">
        <v>4780</v>
      </c>
      <c r="O352">
        <v>3906</v>
      </c>
      <c r="P352">
        <v>3443</v>
      </c>
      <c r="Q352">
        <v>3430</v>
      </c>
      <c r="R352">
        <v>2798</v>
      </c>
      <c r="S352">
        <v>2683</v>
      </c>
      <c r="T352">
        <v>2663</v>
      </c>
      <c r="U352">
        <v>2337</v>
      </c>
      <c r="V352">
        <v>2294</v>
      </c>
      <c r="W352">
        <v>1774</v>
      </c>
      <c r="X352">
        <v>1607</v>
      </c>
      <c r="Y352">
        <v>1212</v>
      </c>
      <c r="Z352">
        <v>1197</v>
      </c>
      <c r="AA352">
        <v>811</v>
      </c>
      <c r="AB352">
        <v>693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1067641</v>
      </c>
    </row>
    <row r="353" spans="1:51" hidden="1" x14ac:dyDescent="0.2">
      <c r="A353" t="s">
        <v>22</v>
      </c>
      <c r="C353">
        <v>351</v>
      </c>
      <c r="D353">
        <v>23</v>
      </c>
      <c r="E353" t="s">
        <v>433</v>
      </c>
      <c r="F353">
        <v>2014</v>
      </c>
      <c r="H353">
        <v>533383</v>
      </c>
      <c r="I353">
        <v>309876</v>
      </c>
      <c r="J353">
        <v>164183</v>
      </c>
      <c r="K353">
        <v>39677</v>
      </c>
      <c r="L353">
        <v>10901</v>
      </c>
      <c r="M353">
        <v>7314</v>
      </c>
      <c r="N353">
        <v>6186</v>
      </c>
      <c r="O353">
        <v>5929</v>
      </c>
      <c r="P353">
        <v>5054</v>
      </c>
      <c r="Q353">
        <v>3512</v>
      </c>
      <c r="R353">
        <v>3261</v>
      </c>
      <c r="S353">
        <v>2910</v>
      </c>
      <c r="T353">
        <v>2255</v>
      </c>
      <c r="U353">
        <v>2029</v>
      </c>
      <c r="V353">
        <v>1684</v>
      </c>
      <c r="W353">
        <v>1499</v>
      </c>
      <c r="X353">
        <v>1334</v>
      </c>
      <c r="Y353">
        <v>1221</v>
      </c>
      <c r="Z353">
        <v>1097</v>
      </c>
      <c r="AA353">
        <v>1015</v>
      </c>
      <c r="AB353">
        <v>1013</v>
      </c>
      <c r="AC353">
        <v>962</v>
      </c>
      <c r="AD353">
        <v>946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1107241</v>
      </c>
    </row>
    <row r="354" spans="1:51" hidden="1" x14ac:dyDescent="0.2">
      <c r="A354" t="s">
        <v>22</v>
      </c>
      <c r="C354">
        <v>352</v>
      </c>
      <c r="D354">
        <v>26</v>
      </c>
      <c r="E354" t="s">
        <v>434</v>
      </c>
      <c r="F354">
        <v>2014</v>
      </c>
      <c r="H354">
        <v>556546</v>
      </c>
      <c r="I354">
        <v>288936</v>
      </c>
      <c r="J354">
        <v>201265</v>
      </c>
      <c r="K354">
        <v>46477</v>
      </c>
      <c r="L354">
        <v>20601</v>
      </c>
      <c r="M354">
        <v>5374</v>
      </c>
      <c r="N354">
        <v>5198</v>
      </c>
      <c r="O354">
        <v>3261</v>
      </c>
      <c r="P354">
        <v>2903</v>
      </c>
      <c r="Q354">
        <v>2581</v>
      </c>
      <c r="R354">
        <v>2550</v>
      </c>
      <c r="S354">
        <v>2203</v>
      </c>
      <c r="T354">
        <v>1701</v>
      </c>
      <c r="U354">
        <v>1623</v>
      </c>
      <c r="V354">
        <v>1619</v>
      </c>
      <c r="W354">
        <v>1232</v>
      </c>
      <c r="X354">
        <v>1151</v>
      </c>
      <c r="Y354">
        <v>777</v>
      </c>
      <c r="Z354">
        <v>731</v>
      </c>
      <c r="AA354">
        <v>623</v>
      </c>
      <c r="AB354">
        <v>574</v>
      </c>
      <c r="AC354">
        <v>529</v>
      </c>
      <c r="AD354">
        <v>526</v>
      </c>
      <c r="AE354">
        <v>484</v>
      </c>
      <c r="AF354">
        <v>474</v>
      </c>
      <c r="AG354">
        <v>357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1150296</v>
      </c>
    </row>
    <row r="355" spans="1:51" hidden="1" x14ac:dyDescent="0.2">
      <c r="A355" t="s">
        <v>22</v>
      </c>
      <c r="C355">
        <v>353</v>
      </c>
      <c r="D355">
        <v>27</v>
      </c>
      <c r="E355" t="s">
        <v>435</v>
      </c>
      <c r="F355">
        <v>2014</v>
      </c>
      <c r="H355">
        <v>563272</v>
      </c>
      <c r="I355">
        <v>268898</v>
      </c>
      <c r="J355">
        <v>146882</v>
      </c>
      <c r="K355">
        <v>19800</v>
      </c>
      <c r="L355">
        <v>16002</v>
      </c>
      <c r="M355">
        <v>4827</v>
      </c>
      <c r="N355">
        <v>4808</v>
      </c>
      <c r="O355">
        <v>4348</v>
      </c>
      <c r="P355">
        <v>3920</v>
      </c>
      <c r="Q355">
        <v>3362</v>
      </c>
      <c r="R355">
        <v>3070</v>
      </c>
      <c r="S355">
        <v>2487</v>
      </c>
      <c r="T355">
        <v>2079</v>
      </c>
      <c r="U355">
        <v>1874</v>
      </c>
      <c r="V355">
        <v>1788</v>
      </c>
      <c r="W355">
        <v>1711</v>
      </c>
      <c r="X355">
        <v>1600</v>
      </c>
      <c r="Y355">
        <v>1182</v>
      </c>
      <c r="Z355">
        <v>915</v>
      </c>
      <c r="AA355">
        <v>858</v>
      </c>
      <c r="AB355">
        <v>835</v>
      </c>
      <c r="AC355">
        <v>823</v>
      </c>
      <c r="AD355">
        <v>787</v>
      </c>
      <c r="AE355">
        <v>737</v>
      </c>
      <c r="AF355">
        <v>717</v>
      </c>
      <c r="AG355">
        <v>700</v>
      </c>
      <c r="AH355">
        <v>473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1058755</v>
      </c>
    </row>
    <row r="356" spans="1:51" hidden="1" x14ac:dyDescent="0.2">
      <c r="A356" t="s">
        <v>22</v>
      </c>
      <c r="C356">
        <v>354</v>
      </c>
      <c r="D356">
        <v>15</v>
      </c>
      <c r="E356" t="s">
        <v>436</v>
      </c>
      <c r="F356">
        <v>2014</v>
      </c>
      <c r="H356">
        <v>466995</v>
      </c>
      <c r="I356">
        <v>255432</v>
      </c>
      <c r="J356">
        <v>217260</v>
      </c>
      <c r="K356">
        <v>26726</v>
      </c>
      <c r="L356">
        <v>16268</v>
      </c>
      <c r="M356">
        <v>7478</v>
      </c>
      <c r="N356">
        <v>5917</v>
      </c>
      <c r="O356">
        <v>4654</v>
      </c>
      <c r="P356">
        <v>1969</v>
      </c>
      <c r="Q356">
        <v>1592</v>
      </c>
      <c r="R356">
        <v>1298</v>
      </c>
      <c r="S356">
        <v>1046</v>
      </c>
      <c r="T356">
        <v>818</v>
      </c>
      <c r="U356">
        <v>610</v>
      </c>
      <c r="V356">
        <v>519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1008582</v>
      </c>
    </row>
    <row r="357" spans="1:51" hidden="1" x14ac:dyDescent="0.2">
      <c r="A357" t="s">
        <v>22</v>
      </c>
      <c r="C357">
        <v>355</v>
      </c>
      <c r="D357">
        <v>26</v>
      </c>
      <c r="E357" t="s">
        <v>437</v>
      </c>
      <c r="F357">
        <v>2014</v>
      </c>
      <c r="H357">
        <v>442778</v>
      </c>
      <c r="I357">
        <v>263463</v>
      </c>
      <c r="J357">
        <v>205411</v>
      </c>
      <c r="K357">
        <v>47554</v>
      </c>
      <c r="L357">
        <v>33331</v>
      </c>
      <c r="M357">
        <v>13941</v>
      </c>
      <c r="N357">
        <v>6422</v>
      </c>
      <c r="O357">
        <v>4665</v>
      </c>
      <c r="P357">
        <v>4264</v>
      </c>
      <c r="Q357">
        <v>4074</v>
      </c>
      <c r="R357">
        <v>3087</v>
      </c>
      <c r="S357">
        <v>2167</v>
      </c>
      <c r="T357">
        <v>2010</v>
      </c>
      <c r="U357">
        <v>1991</v>
      </c>
      <c r="V357">
        <v>1926</v>
      </c>
      <c r="W357">
        <v>1820</v>
      </c>
      <c r="X357">
        <v>1193</v>
      </c>
      <c r="Y357">
        <v>0</v>
      </c>
      <c r="Z357">
        <v>1153</v>
      </c>
      <c r="AA357">
        <v>1151</v>
      </c>
      <c r="AB357">
        <v>1097</v>
      </c>
      <c r="AC357">
        <v>1038</v>
      </c>
      <c r="AD357">
        <v>949</v>
      </c>
      <c r="AE357">
        <v>916</v>
      </c>
      <c r="AF357">
        <v>908</v>
      </c>
      <c r="AG357">
        <v>900</v>
      </c>
      <c r="AH357">
        <v>788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1048997</v>
      </c>
    </row>
    <row r="358" spans="1:51" hidden="1" x14ac:dyDescent="0.2">
      <c r="A358" t="s">
        <v>22</v>
      </c>
      <c r="C358">
        <v>356</v>
      </c>
      <c r="D358">
        <v>11</v>
      </c>
      <c r="E358" t="s">
        <v>438</v>
      </c>
      <c r="F358">
        <v>2014</v>
      </c>
      <c r="H358">
        <v>463700</v>
      </c>
      <c r="I358">
        <v>358760</v>
      </c>
      <c r="J358">
        <v>46559</v>
      </c>
      <c r="K358">
        <v>37702</v>
      </c>
      <c r="L358">
        <v>12525</v>
      </c>
      <c r="M358">
        <v>3377</v>
      </c>
      <c r="N358">
        <v>2733</v>
      </c>
      <c r="O358">
        <v>2704</v>
      </c>
      <c r="P358">
        <v>1711</v>
      </c>
      <c r="Q358">
        <v>1655</v>
      </c>
      <c r="R358">
        <v>1650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933076</v>
      </c>
    </row>
    <row r="359" spans="1:51" hidden="1" x14ac:dyDescent="0.2">
      <c r="A359" t="s">
        <v>22</v>
      </c>
      <c r="C359">
        <v>357</v>
      </c>
      <c r="D359">
        <v>26</v>
      </c>
      <c r="E359" t="s">
        <v>439</v>
      </c>
      <c r="F359">
        <v>2014</v>
      </c>
      <c r="H359">
        <v>431717</v>
      </c>
      <c r="I359">
        <v>389701</v>
      </c>
      <c r="J359">
        <v>217083</v>
      </c>
      <c r="K359">
        <v>56962</v>
      </c>
      <c r="L359">
        <v>34197</v>
      </c>
      <c r="M359">
        <v>17428</v>
      </c>
      <c r="N359">
        <v>6680</v>
      </c>
      <c r="O359">
        <v>2329</v>
      </c>
      <c r="P359">
        <v>2122</v>
      </c>
      <c r="Q359">
        <v>1959</v>
      </c>
      <c r="R359">
        <v>1756</v>
      </c>
      <c r="S359">
        <v>1699</v>
      </c>
      <c r="T359">
        <v>1672</v>
      </c>
      <c r="U359">
        <v>1360</v>
      </c>
      <c r="V359">
        <v>1306</v>
      </c>
      <c r="W359">
        <v>1232</v>
      </c>
      <c r="X359">
        <v>1100</v>
      </c>
      <c r="Y359">
        <v>1051</v>
      </c>
      <c r="Z359">
        <v>858</v>
      </c>
      <c r="AA359">
        <v>799</v>
      </c>
      <c r="AB359">
        <v>766</v>
      </c>
      <c r="AC359">
        <v>640</v>
      </c>
      <c r="AD359">
        <v>607</v>
      </c>
      <c r="AE359">
        <v>596</v>
      </c>
      <c r="AF359">
        <v>550</v>
      </c>
      <c r="AG359">
        <v>450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1176620</v>
      </c>
    </row>
    <row r="360" spans="1:51" hidden="1" x14ac:dyDescent="0.2">
      <c r="A360" t="s">
        <v>22</v>
      </c>
      <c r="C360">
        <v>358</v>
      </c>
      <c r="D360">
        <v>19</v>
      </c>
      <c r="E360" t="s">
        <v>440</v>
      </c>
      <c r="F360">
        <v>2014</v>
      </c>
      <c r="H360">
        <v>417092</v>
      </c>
      <c r="I360">
        <v>276118</v>
      </c>
      <c r="J360">
        <v>251829</v>
      </c>
      <c r="K360">
        <v>30014</v>
      </c>
      <c r="L360">
        <v>12947</v>
      </c>
      <c r="M360">
        <v>4942</v>
      </c>
      <c r="N360">
        <v>3953</v>
      </c>
      <c r="O360">
        <v>2472</v>
      </c>
      <c r="P360">
        <v>2192</v>
      </c>
      <c r="Q360">
        <v>2071</v>
      </c>
      <c r="R360">
        <v>1599</v>
      </c>
      <c r="S360">
        <v>1523</v>
      </c>
      <c r="T360">
        <v>1171</v>
      </c>
      <c r="U360">
        <v>1004</v>
      </c>
      <c r="V360">
        <v>895</v>
      </c>
      <c r="W360">
        <v>891</v>
      </c>
      <c r="X360">
        <v>834</v>
      </c>
      <c r="Y360">
        <v>626</v>
      </c>
      <c r="Z360">
        <v>494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1012667</v>
      </c>
    </row>
    <row r="361" spans="1:51" hidden="1" x14ac:dyDescent="0.2">
      <c r="A361" t="s">
        <v>22</v>
      </c>
      <c r="C361">
        <v>359</v>
      </c>
      <c r="D361">
        <v>19</v>
      </c>
      <c r="E361" t="s">
        <v>441</v>
      </c>
      <c r="F361">
        <v>2014</v>
      </c>
      <c r="H361">
        <v>510462</v>
      </c>
      <c r="I361">
        <v>382617</v>
      </c>
      <c r="J361">
        <v>93794</v>
      </c>
      <c r="K361">
        <v>35632</v>
      </c>
      <c r="L361">
        <v>19455</v>
      </c>
      <c r="M361">
        <v>10591</v>
      </c>
      <c r="N361">
        <v>7580</v>
      </c>
      <c r="O361">
        <v>5859</v>
      </c>
      <c r="P361">
        <v>3588</v>
      </c>
      <c r="Q361">
        <v>3395</v>
      </c>
      <c r="R361">
        <v>2604</v>
      </c>
      <c r="S361">
        <v>1903</v>
      </c>
      <c r="T361">
        <v>1261</v>
      </c>
      <c r="U361">
        <v>1202</v>
      </c>
      <c r="V361">
        <v>863</v>
      </c>
      <c r="W361">
        <v>786</v>
      </c>
      <c r="X361">
        <v>627</v>
      </c>
      <c r="Y361">
        <v>592</v>
      </c>
      <c r="Z361">
        <v>553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1083364</v>
      </c>
    </row>
    <row r="362" spans="1:51" hidden="1" x14ac:dyDescent="0.2">
      <c r="A362" t="s">
        <v>22</v>
      </c>
      <c r="C362">
        <v>360</v>
      </c>
      <c r="D362">
        <v>26</v>
      </c>
      <c r="E362" t="s">
        <v>442</v>
      </c>
      <c r="F362">
        <v>2014</v>
      </c>
      <c r="H362">
        <v>540722</v>
      </c>
      <c r="I362">
        <v>345475</v>
      </c>
      <c r="J362">
        <v>76560</v>
      </c>
      <c r="K362">
        <v>30459</v>
      </c>
      <c r="L362">
        <v>13763</v>
      </c>
      <c r="M362">
        <v>5694</v>
      </c>
      <c r="N362">
        <v>4486</v>
      </c>
      <c r="O362">
        <v>4280</v>
      </c>
      <c r="P362">
        <v>3719</v>
      </c>
      <c r="Q362">
        <v>3552</v>
      </c>
      <c r="R362">
        <v>2440</v>
      </c>
      <c r="S362">
        <v>2108</v>
      </c>
      <c r="T362">
        <v>1436</v>
      </c>
      <c r="U362">
        <v>1433</v>
      </c>
      <c r="V362">
        <v>1387</v>
      </c>
      <c r="W362">
        <v>1276</v>
      </c>
      <c r="X362">
        <v>1024</v>
      </c>
      <c r="Y362">
        <v>981</v>
      </c>
      <c r="Z362">
        <v>848</v>
      </c>
      <c r="AA362">
        <v>847</v>
      </c>
      <c r="AB362">
        <v>831</v>
      </c>
      <c r="AC362">
        <v>813</v>
      </c>
      <c r="AD362">
        <v>732</v>
      </c>
      <c r="AE362">
        <v>668</v>
      </c>
      <c r="AF362">
        <v>563</v>
      </c>
      <c r="AG362">
        <v>437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1046534</v>
      </c>
    </row>
    <row r="363" spans="1:51" hidden="1" x14ac:dyDescent="0.2">
      <c r="A363" t="s">
        <v>22</v>
      </c>
      <c r="C363">
        <v>361</v>
      </c>
      <c r="D363">
        <v>30</v>
      </c>
      <c r="E363" t="s">
        <v>443</v>
      </c>
      <c r="F363">
        <v>2014</v>
      </c>
      <c r="H363">
        <v>458478</v>
      </c>
      <c r="I363">
        <v>308002</v>
      </c>
      <c r="J363">
        <v>94785</v>
      </c>
      <c r="K363">
        <v>51537</v>
      </c>
      <c r="L363">
        <v>22848</v>
      </c>
      <c r="M363">
        <v>17039</v>
      </c>
      <c r="N363">
        <v>4885</v>
      </c>
      <c r="O363">
        <v>4077</v>
      </c>
      <c r="P363">
        <v>3239</v>
      </c>
      <c r="Q363">
        <v>3083</v>
      </c>
      <c r="R363">
        <v>2484</v>
      </c>
      <c r="S363">
        <v>2348</v>
      </c>
      <c r="T363">
        <v>1710</v>
      </c>
      <c r="U363">
        <v>1425</v>
      </c>
      <c r="V363">
        <v>1283</v>
      </c>
      <c r="W363">
        <v>1198</v>
      </c>
      <c r="X363">
        <v>1119</v>
      </c>
      <c r="Y363">
        <v>1003</v>
      </c>
      <c r="Z363">
        <v>784</v>
      </c>
      <c r="AA363">
        <v>751</v>
      </c>
      <c r="AB363">
        <v>734</v>
      </c>
      <c r="AC363">
        <v>731</v>
      </c>
      <c r="AD363">
        <v>687</v>
      </c>
      <c r="AE363">
        <v>680</v>
      </c>
      <c r="AF363">
        <v>669</v>
      </c>
      <c r="AG363">
        <v>636</v>
      </c>
      <c r="AH363">
        <v>606</v>
      </c>
      <c r="AI363">
        <v>589</v>
      </c>
      <c r="AJ363">
        <v>485</v>
      </c>
      <c r="AK363">
        <v>355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988250</v>
      </c>
    </row>
    <row r="364" spans="1:51" hidden="1" x14ac:dyDescent="0.2">
      <c r="A364" t="s">
        <v>22</v>
      </c>
      <c r="C364">
        <v>362</v>
      </c>
      <c r="D364">
        <v>22</v>
      </c>
      <c r="E364" t="s">
        <v>444</v>
      </c>
      <c r="F364">
        <v>2014</v>
      </c>
      <c r="H364">
        <v>462693</v>
      </c>
      <c r="I364">
        <v>249645</v>
      </c>
      <c r="J364">
        <v>238887</v>
      </c>
      <c r="K364">
        <v>31998</v>
      </c>
      <c r="L364">
        <v>11605</v>
      </c>
      <c r="M364">
        <v>6324</v>
      </c>
      <c r="N364">
        <v>3940</v>
      </c>
      <c r="O364">
        <v>2995</v>
      </c>
      <c r="P364">
        <v>2924</v>
      </c>
      <c r="Q364">
        <v>2762</v>
      </c>
      <c r="R364">
        <v>2369</v>
      </c>
      <c r="S364">
        <v>2211</v>
      </c>
      <c r="T364">
        <v>1821</v>
      </c>
      <c r="U364">
        <v>1636</v>
      </c>
      <c r="V364">
        <v>1509</v>
      </c>
      <c r="W364">
        <v>1490</v>
      </c>
      <c r="X364">
        <v>1302</v>
      </c>
      <c r="Y364">
        <v>1201</v>
      </c>
      <c r="Z364">
        <v>1018</v>
      </c>
      <c r="AA364">
        <v>986</v>
      </c>
      <c r="AB364">
        <v>877</v>
      </c>
      <c r="AC364">
        <v>633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1030826</v>
      </c>
    </row>
    <row r="365" spans="1:51" hidden="1" x14ac:dyDescent="0.2">
      <c r="A365" t="s">
        <v>22</v>
      </c>
      <c r="C365">
        <v>363</v>
      </c>
      <c r="D365">
        <v>18</v>
      </c>
      <c r="E365" t="s">
        <v>445</v>
      </c>
      <c r="F365">
        <v>2014</v>
      </c>
      <c r="H365">
        <v>481429</v>
      </c>
      <c r="I365">
        <v>278304</v>
      </c>
      <c r="J365">
        <v>147606</v>
      </c>
      <c r="K365">
        <v>26650</v>
      </c>
      <c r="L365">
        <v>11122</v>
      </c>
      <c r="M365">
        <v>10338</v>
      </c>
      <c r="N365">
        <v>7678</v>
      </c>
      <c r="O365">
        <v>6250</v>
      </c>
      <c r="P365">
        <v>3473</v>
      </c>
      <c r="Q365">
        <v>2642</v>
      </c>
      <c r="R365">
        <v>1782</v>
      </c>
      <c r="S365">
        <v>1370</v>
      </c>
      <c r="T365">
        <v>1309</v>
      </c>
      <c r="U365">
        <v>1257</v>
      </c>
      <c r="V365">
        <v>944</v>
      </c>
      <c r="W365">
        <v>872</v>
      </c>
      <c r="X365">
        <v>862</v>
      </c>
      <c r="Y365">
        <v>650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984538</v>
      </c>
    </row>
    <row r="366" spans="1:51" hidden="1" x14ac:dyDescent="0.2">
      <c r="A366" t="s">
        <v>22</v>
      </c>
      <c r="C366">
        <v>364</v>
      </c>
      <c r="D366">
        <v>16</v>
      </c>
      <c r="E366" t="s">
        <v>446</v>
      </c>
      <c r="F366">
        <v>2014</v>
      </c>
      <c r="H366">
        <v>429536</v>
      </c>
      <c r="I366">
        <v>301041</v>
      </c>
      <c r="J366">
        <v>279016</v>
      </c>
      <c r="K366">
        <v>28988</v>
      </c>
      <c r="L366">
        <v>12138</v>
      </c>
      <c r="M366">
        <v>8875</v>
      </c>
      <c r="N366">
        <v>6824</v>
      </c>
      <c r="O366">
        <v>5179</v>
      </c>
      <c r="P366">
        <v>4896</v>
      </c>
      <c r="Q366">
        <v>3370</v>
      </c>
      <c r="R366">
        <v>1772</v>
      </c>
      <c r="S366">
        <v>1543</v>
      </c>
      <c r="T366">
        <v>1523</v>
      </c>
      <c r="U366">
        <v>1469</v>
      </c>
      <c r="V366">
        <v>1182</v>
      </c>
      <c r="W366">
        <v>1071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1088423</v>
      </c>
    </row>
    <row r="367" spans="1:51" hidden="1" x14ac:dyDescent="0.2">
      <c r="A367" t="s">
        <v>22</v>
      </c>
      <c r="C367">
        <v>365</v>
      </c>
      <c r="D367">
        <v>20</v>
      </c>
      <c r="E367" t="s">
        <v>447</v>
      </c>
      <c r="F367">
        <v>2014</v>
      </c>
      <c r="H367">
        <v>513729</v>
      </c>
      <c r="I367">
        <v>236679</v>
      </c>
      <c r="J367">
        <v>144085</v>
      </c>
      <c r="K367">
        <v>58465</v>
      </c>
      <c r="L367">
        <v>13181</v>
      </c>
      <c r="M367">
        <v>11613</v>
      </c>
      <c r="N367">
        <v>7582</v>
      </c>
      <c r="O367">
        <v>7214</v>
      </c>
      <c r="P367">
        <v>6286</v>
      </c>
      <c r="Q367">
        <v>4714</v>
      </c>
      <c r="R367">
        <v>4149</v>
      </c>
      <c r="S367">
        <v>3654</v>
      </c>
      <c r="T367">
        <v>2643</v>
      </c>
      <c r="U367">
        <v>2327</v>
      </c>
      <c r="V367">
        <v>2303</v>
      </c>
      <c r="W367">
        <v>2028</v>
      </c>
      <c r="X367">
        <v>1994</v>
      </c>
      <c r="Y367">
        <v>1066</v>
      </c>
      <c r="Z367">
        <v>1056</v>
      </c>
      <c r="AA367">
        <v>770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1025538</v>
      </c>
    </row>
    <row r="368" spans="1:51" hidden="1" x14ac:dyDescent="0.2">
      <c r="A368" t="s">
        <v>22</v>
      </c>
      <c r="C368">
        <v>366</v>
      </c>
      <c r="D368">
        <v>10</v>
      </c>
      <c r="E368" t="s">
        <v>448</v>
      </c>
      <c r="F368">
        <v>2014</v>
      </c>
      <c r="H368">
        <v>434174</v>
      </c>
      <c r="I368">
        <v>328095</v>
      </c>
      <c r="J368">
        <v>90313</v>
      </c>
      <c r="K368">
        <v>43506</v>
      </c>
      <c r="L368">
        <v>23967</v>
      </c>
      <c r="M368">
        <v>15662</v>
      </c>
      <c r="N368">
        <v>1851</v>
      </c>
      <c r="O368">
        <v>1847</v>
      </c>
      <c r="P368">
        <v>1754</v>
      </c>
      <c r="Q368">
        <v>1033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942202</v>
      </c>
    </row>
    <row r="369" spans="1:51" hidden="1" x14ac:dyDescent="0.2">
      <c r="A369" t="s">
        <v>22</v>
      </c>
      <c r="C369">
        <v>367</v>
      </c>
      <c r="D369">
        <v>13</v>
      </c>
      <c r="E369" t="s">
        <v>449</v>
      </c>
      <c r="F369">
        <v>2014</v>
      </c>
      <c r="H369">
        <v>510307</v>
      </c>
      <c r="I369">
        <v>366188</v>
      </c>
      <c r="J369">
        <v>58521</v>
      </c>
      <c r="K369">
        <v>30232</v>
      </c>
      <c r="L369">
        <v>23215</v>
      </c>
      <c r="M369">
        <v>12212</v>
      </c>
      <c r="N369">
        <v>2511</v>
      </c>
      <c r="O369">
        <v>2253</v>
      </c>
      <c r="P369">
        <v>1830</v>
      </c>
      <c r="Q369">
        <v>1511</v>
      </c>
      <c r="R369">
        <v>1415</v>
      </c>
      <c r="S369">
        <v>1169</v>
      </c>
      <c r="T369">
        <v>894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1012258</v>
      </c>
    </row>
    <row r="370" spans="1:51" hidden="1" x14ac:dyDescent="0.2">
      <c r="A370" t="s">
        <v>22</v>
      </c>
      <c r="C370">
        <v>368</v>
      </c>
      <c r="D370">
        <v>28</v>
      </c>
      <c r="E370" t="s">
        <v>450</v>
      </c>
      <c r="F370">
        <v>2014</v>
      </c>
      <c r="H370">
        <v>475993</v>
      </c>
      <c r="I370">
        <v>246608</v>
      </c>
      <c r="J370">
        <v>133763</v>
      </c>
      <c r="K370">
        <v>104678</v>
      </c>
      <c r="L370">
        <v>20473</v>
      </c>
      <c r="M370">
        <v>8042</v>
      </c>
      <c r="N370">
        <v>4029</v>
      </c>
      <c r="O370">
        <v>3056</v>
      </c>
      <c r="P370">
        <v>3023</v>
      </c>
      <c r="Q370">
        <v>3021</v>
      </c>
      <c r="R370">
        <v>2987</v>
      </c>
      <c r="S370">
        <v>2196</v>
      </c>
      <c r="T370">
        <v>2131</v>
      </c>
      <c r="U370">
        <v>2100</v>
      </c>
      <c r="V370">
        <v>2050</v>
      </c>
      <c r="W370">
        <v>1699</v>
      </c>
      <c r="X370">
        <v>1438</v>
      </c>
      <c r="Y370">
        <v>1337</v>
      </c>
      <c r="Z370">
        <v>1269</v>
      </c>
      <c r="AA370">
        <v>1007</v>
      </c>
      <c r="AB370">
        <v>949</v>
      </c>
      <c r="AC370">
        <v>873</v>
      </c>
      <c r="AD370">
        <v>837</v>
      </c>
      <c r="AE370">
        <v>794</v>
      </c>
      <c r="AF370">
        <v>741</v>
      </c>
      <c r="AG370">
        <v>736</v>
      </c>
      <c r="AH370">
        <v>641</v>
      </c>
      <c r="AI370">
        <v>565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1027036</v>
      </c>
    </row>
    <row r="371" spans="1:51" hidden="1" x14ac:dyDescent="0.2">
      <c r="A371" t="s">
        <v>22</v>
      </c>
      <c r="C371">
        <v>369</v>
      </c>
      <c r="D371">
        <v>32</v>
      </c>
      <c r="E371" t="s">
        <v>451</v>
      </c>
      <c r="F371">
        <v>2014</v>
      </c>
      <c r="H371">
        <v>453785</v>
      </c>
      <c r="I371">
        <v>254361</v>
      </c>
      <c r="J371">
        <v>146751</v>
      </c>
      <c r="K371">
        <v>32154</v>
      </c>
      <c r="L371">
        <v>30126</v>
      </c>
      <c r="M371">
        <v>19765</v>
      </c>
      <c r="N371">
        <v>6289</v>
      </c>
      <c r="O371">
        <v>5378</v>
      </c>
      <c r="P371">
        <v>4467</v>
      </c>
      <c r="Q371">
        <v>2754</v>
      </c>
      <c r="R371">
        <v>2740</v>
      </c>
      <c r="S371">
        <v>2054</v>
      </c>
      <c r="T371">
        <v>1563</v>
      </c>
      <c r="U371">
        <v>1474</v>
      </c>
      <c r="V371">
        <v>1253</v>
      </c>
      <c r="W371">
        <v>1226</v>
      </c>
      <c r="X371">
        <v>957</v>
      </c>
      <c r="Y371">
        <v>900</v>
      </c>
      <c r="Z371">
        <v>719</v>
      </c>
      <c r="AA371">
        <v>666</v>
      </c>
      <c r="AB371">
        <v>572</v>
      </c>
      <c r="AC371">
        <v>565</v>
      </c>
      <c r="AD371">
        <v>556</v>
      </c>
      <c r="AE371">
        <v>483</v>
      </c>
      <c r="AF371">
        <v>448</v>
      </c>
      <c r="AG371">
        <v>432</v>
      </c>
      <c r="AH371">
        <v>430</v>
      </c>
      <c r="AI371">
        <v>424</v>
      </c>
      <c r="AJ371">
        <v>423</v>
      </c>
      <c r="AK371">
        <v>392</v>
      </c>
      <c r="AL371">
        <v>363</v>
      </c>
      <c r="AM371">
        <v>339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974809</v>
      </c>
    </row>
    <row r="372" spans="1:51" hidden="1" x14ac:dyDescent="0.2">
      <c r="A372" t="s">
        <v>22</v>
      </c>
      <c r="C372">
        <v>370</v>
      </c>
      <c r="D372">
        <v>24</v>
      </c>
      <c r="E372" t="s">
        <v>452</v>
      </c>
      <c r="F372">
        <v>2014</v>
      </c>
      <c r="H372">
        <v>571254</v>
      </c>
      <c r="I372">
        <v>256722</v>
      </c>
      <c r="J372">
        <v>134362</v>
      </c>
      <c r="K372">
        <v>71432</v>
      </c>
      <c r="L372">
        <v>10312</v>
      </c>
      <c r="M372">
        <v>5299</v>
      </c>
      <c r="N372">
        <v>3521</v>
      </c>
      <c r="O372">
        <v>3213</v>
      </c>
      <c r="P372">
        <v>2908</v>
      </c>
      <c r="Q372">
        <v>2681</v>
      </c>
      <c r="R372">
        <v>1954</v>
      </c>
      <c r="S372">
        <v>1349</v>
      </c>
      <c r="T372">
        <v>1273</v>
      </c>
      <c r="U372">
        <v>1107</v>
      </c>
      <c r="V372">
        <v>1082</v>
      </c>
      <c r="W372">
        <v>991</v>
      </c>
      <c r="X372">
        <v>946</v>
      </c>
      <c r="Y372">
        <v>859</v>
      </c>
      <c r="Z372">
        <v>767</v>
      </c>
      <c r="AA372">
        <v>742</v>
      </c>
      <c r="AB372">
        <v>739</v>
      </c>
      <c r="AC372">
        <v>696</v>
      </c>
      <c r="AD372">
        <v>695</v>
      </c>
      <c r="AE372">
        <v>679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1075583</v>
      </c>
    </row>
    <row r="373" spans="1:51" hidden="1" x14ac:dyDescent="0.2">
      <c r="A373" t="s">
        <v>22</v>
      </c>
      <c r="C373">
        <v>371</v>
      </c>
      <c r="D373">
        <v>27</v>
      </c>
      <c r="E373" t="s">
        <v>453</v>
      </c>
      <c r="F373">
        <v>2014</v>
      </c>
      <c r="H373">
        <v>406694</v>
      </c>
      <c r="I373">
        <v>261143</v>
      </c>
      <c r="J373">
        <v>241505</v>
      </c>
      <c r="K373">
        <v>38482</v>
      </c>
      <c r="L373">
        <v>20157</v>
      </c>
      <c r="M373">
        <v>12225</v>
      </c>
      <c r="N373">
        <v>3470</v>
      </c>
      <c r="O373">
        <v>3411</v>
      </c>
      <c r="P373">
        <v>2721</v>
      </c>
      <c r="Q373">
        <v>2522</v>
      </c>
      <c r="R373">
        <v>2342</v>
      </c>
      <c r="S373">
        <v>2249</v>
      </c>
      <c r="T373">
        <v>1685</v>
      </c>
      <c r="U373">
        <v>1517</v>
      </c>
      <c r="V373">
        <v>1155</v>
      </c>
      <c r="W373">
        <v>1133</v>
      </c>
      <c r="X373">
        <v>1068</v>
      </c>
      <c r="Y373">
        <v>1017</v>
      </c>
      <c r="Z373">
        <v>922</v>
      </c>
      <c r="AA373">
        <v>903</v>
      </c>
      <c r="AB373">
        <v>714</v>
      </c>
      <c r="AC373">
        <v>711</v>
      </c>
      <c r="AD373">
        <v>700</v>
      </c>
      <c r="AE373">
        <v>681</v>
      </c>
      <c r="AF373">
        <v>642</v>
      </c>
      <c r="AG373">
        <v>629</v>
      </c>
      <c r="AH373">
        <v>532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1010930</v>
      </c>
    </row>
    <row r="374" spans="1:51" hidden="1" x14ac:dyDescent="0.2">
      <c r="A374" t="s">
        <v>22</v>
      </c>
      <c r="C374">
        <v>372</v>
      </c>
      <c r="D374">
        <v>32</v>
      </c>
      <c r="E374" t="s">
        <v>454</v>
      </c>
      <c r="F374">
        <v>2014</v>
      </c>
      <c r="H374">
        <v>405945</v>
      </c>
      <c r="I374">
        <v>286621</v>
      </c>
      <c r="J374">
        <v>171082</v>
      </c>
      <c r="K374">
        <v>62160</v>
      </c>
      <c r="L374">
        <v>12541</v>
      </c>
      <c r="M374">
        <v>12312</v>
      </c>
      <c r="N374">
        <v>10945</v>
      </c>
      <c r="O374">
        <v>6279</v>
      </c>
      <c r="P374">
        <v>3969</v>
      </c>
      <c r="Q374">
        <v>3471</v>
      </c>
      <c r="R374">
        <v>3125</v>
      </c>
      <c r="S374">
        <v>2684</v>
      </c>
      <c r="T374">
        <v>2123</v>
      </c>
      <c r="U374">
        <v>1415</v>
      </c>
      <c r="V374">
        <v>1355</v>
      </c>
      <c r="W374">
        <v>1321</v>
      </c>
      <c r="X374">
        <v>1220</v>
      </c>
      <c r="Y374">
        <v>1171</v>
      </c>
      <c r="Z374">
        <v>1129</v>
      </c>
      <c r="AA374">
        <v>1037</v>
      </c>
      <c r="AB374">
        <v>999</v>
      </c>
      <c r="AC374">
        <v>985</v>
      </c>
      <c r="AD374">
        <v>941</v>
      </c>
      <c r="AE374">
        <v>914</v>
      </c>
      <c r="AF374">
        <v>835</v>
      </c>
      <c r="AG374">
        <v>814</v>
      </c>
      <c r="AH374">
        <v>785</v>
      </c>
      <c r="AI374">
        <v>747</v>
      </c>
      <c r="AJ374">
        <v>645</v>
      </c>
      <c r="AK374">
        <v>577</v>
      </c>
      <c r="AL374">
        <v>478</v>
      </c>
      <c r="AM374">
        <v>423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1001048</v>
      </c>
    </row>
    <row r="375" spans="1:51" hidden="1" x14ac:dyDescent="0.2">
      <c r="A375" t="s">
        <v>22</v>
      </c>
      <c r="C375">
        <v>373</v>
      </c>
      <c r="D375">
        <v>15</v>
      </c>
      <c r="E375" t="s">
        <v>455</v>
      </c>
      <c r="F375">
        <v>2014</v>
      </c>
      <c r="H375">
        <v>366052</v>
      </c>
      <c r="I375">
        <v>242050</v>
      </c>
      <c r="J375">
        <v>182191</v>
      </c>
      <c r="K375">
        <v>63080</v>
      </c>
      <c r="L375">
        <v>26476</v>
      </c>
      <c r="M375">
        <v>14993</v>
      </c>
      <c r="N375">
        <v>11447</v>
      </c>
      <c r="O375">
        <v>3205</v>
      </c>
      <c r="P375">
        <v>1727</v>
      </c>
      <c r="Q375">
        <v>1157</v>
      </c>
      <c r="R375">
        <v>1129</v>
      </c>
      <c r="S375">
        <v>983</v>
      </c>
      <c r="T375">
        <v>784</v>
      </c>
      <c r="U375">
        <v>765</v>
      </c>
      <c r="V375">
        <v>739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916778</v>
      </c>
    </row>
    <row r="376" spans="1:51" hidden="1" x14ac:dyDescent="0.2">
      <c r="A376" t="s">
        <v>22</v>
      </c>
      <c r="C376">
        <v>374</v>
      </c>
      <c r="D376">
        <v>19</v>
      </c>
      <c r="E376" t="s">
        <v>456</v>
      </c>
      <c r="F376">
        <v>2014</v>
      </c>
      <c r="H376">
        <v>424586</v>
      </c>
      <c r="I376">
        <v>262812</v>
      </c>
      <c r="J376">
        <v>190233</v>
      </c>
      <c r="K376">
        <v>58963</v>
      </c>
      <c r="L376">
        <v>23528</v>
      </c>
      <c r="M376">
        <v>14492</v>
      </c>
      <c r="N376">
        <v>12115</v>
      </c>
      <c r="O376">
        <v>8022</v>
      </c>
      <c r="P376">
        <v>3904</v>
      </c>
      <c r="Q376">
        <v>3331</v>
      </c>
      <c r="R376">
        <v>2917</v>
      </c>
      <c r="S376">
        <v>2513</v>
      </c>
      <c r="T376">
        <v>2163</v>
      </c>
      <c r="U376">
        <v>1809</v>
      </c>
      <c r="V376">
        <v>1777</v>
      </c>
      <c r="W376">
        <v>1454</v>
      </c>
      <c r="X376">
        <v>1216</v>
      </c>
      <c r="Y376">
        <v>1215</v>
      </c>
      <c r="Z376">
        <v>888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1017938</v>
      </c>
    </row>
    <row r="377" spans="1:51" hidden="1" x14ac:dyDescent="0.2">
      <c r="A377" t="s">
        <v>22</v>
      </c>
      <c r="C377">
        <v>375</v>
      </c>
      <c r="D377">
        <v>28</v>
      </c>
      <c r="E377" t="s">
        <v>457</v>
      </c>
      <c r="F377">
        <v>2014</v>
      </c>
      <c r="H377">
        <v>398139</v>
      </c>
      <c r="I377">
        <v>272040</v>
      </c>
      <c r="J377">
        <v>127370</v>
      </c>
      <c r="K377">
        <v>62863</v>
      </c>
      <c r="L377">
        <v>19381</v>
      </c>
      <c r="M377">
        <v>18353</v>
      </c>
      <c r="N377">
        <v>14877</v>
      </c>
      <c r="O377">
        <v>12893</v>
      </c>
      <c r="P377">
        <v>4692</v>
      </c>
      <c r="Q377">
        <v>3394</v>
      </c>
      <c r="R377">
        <v>3233</v>
      </c>
      <c r="S377">
        <v>3062</v>
      </c>
      <c r="T377">
        <v>2518</v>
      </c>
      <c r="U377">
        <v>1850</v>
      </c>
      <c r="V377">
        <v>1823</v>
      </c>
      <c r="W377">
        <v>1751</v>
      </c>
      <c r="X377">
        <v>1579</v>
      </c>
      <c r="Y377">
        <v>1446</v>
      </c>
      <c r="Z377">
        <v>1391</v>
      </c>
      <c r="AA377">
        <v>1387</v>
      </c>
      <c r="AB377">
        <v>1281</v>
      </c>
      <c r="AC377">
        <v>1262</v>
      </c>
      <c r="AD377">
        <v>1196</v>
      </c>
      <c r="AE377">
        <v>1159</v>
      </c>
      <c r="AF377">
        <v>1052</v>
      </c>
      <c r="AG377">
        <v>947</v>
      </c>
      <c r="AH377">
        <v>740</v>
      </c>
      <c r="AI377">
        <v>651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962330</v>
      </c>
    </row>
    <row r="378" spans="1:51" hidden="1" x14ac:dyDescent="0.2">
      <c r="A378" t="s">
        <v>22</v>
      </c>
      <c r="C378">
        <v>376</v>
      </c>
      <c r="D378">
        <v>26</v>
      </c>
      <c r="E378" t="s">
        <v>458</v>
      </c>
      <c r="F378">
        <v>2014</v>
      </c>
      <c r="H378">
        <v>372906</v>
      </c>
      <c r="I378">
        <v>244244</v>
      </c>
      <c r="J378">
        <v>176239</v>
      </c>
      <c r="K378">
        <v>117933</v>
      </c>
      <c r="L378">
        <v>35284</v>
      </c>
      <c r="M378">
        <v>15314</v>
      </c>
      <c r="N378">
        <v>4150</v>
      </c>
      <c r="O378">
        <v>3851</v>
      </c>
      <c r="P378">
        <v>3236</v>
      </c>
      <c r="Q378">
        <v>2391</v>
      </c>
      <c r="R378">
        <v>1737</v>
      </c>
      <c r="S378">
        <v>1647</v>
      </c>
      <c r="T378">
        <v>1557</v>
      </c>
      <c r="U378">
        <v>1474</v>
      </c>
      <c r="V378">
        <v>1437</v>
      </c>
      <c r="W378">
        <v>1246</v>
      </c>
      <c r="X378">
        <v>955</v>
      </c>
      <c r="Y378">
        <v>930</v>
      </c>
      <c r="Z378">
        <v>791</v>
      </c>
      <c r="AA378">
        <v>591</v>
      </c>
      <c r="AB378">
        <v>536</v>
      </c>
      <c r="AC378">
        <v>534</v>
      </c>
      <c r="AD378">
        <v>504</v>
      </c>
      <c r="AE378">
        <v>436</v>
      </c>
      <c r="AF378">
        <v>421</v>
      </c>
      <c r="AG378">
        <v>398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990742</v>
      </c>
    </row>
    <row r="379" spans="1:51" hidden="1" x14ac:dyDescent="0.2">
      <c r="A379" t="s">
        <v>24</v>
      </c>
      <c r="C379">
        <v>377</v>
      </c>
      <c r="D379">
        <v>14</v>
      </c>
      <c r="E379" t="s">
        <v>459</v>
      </c>
      <c r="F379">
        <v>2014</v>
      </c>
      <c r="H379">
        <v>671665</v>
      </c>
      <c r="I379">
        <v>168179</v>
      </c>
      <c r="J379">
        <v>117727</v>
      </c>
      <c r="K379">
        <v>54706</v>
      </c>
      <c r="L379">
        <v>12699</v>
      </c>
      <c r="M379">
        <v>11040</v>
      </c>
      <c r="N379">
        <v>8202</v>
      </c>
      <c r="O379">
        <v>5947</v>
      </c>
      <c r="P379">
        <v>4981</v>
      </c>
      <c r="Q379">
        <v>4690</v>
      </c>
      <c r="R379">
        <v>4226</v>
      </c>
      <c r="S379">
        <v>3747</v>
      </c>
      <c r="T379">
        <v>2879</v>
      </c>
      <c r="U379">
        <v>2061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1072749</v>
      </c>
    </row>
    <row r="380" spans="1:51" hidden="1" x14ac:dyDescent="0.2">
      <c r="A380" t="s">
        <v>24</v>
      </c>
      <c r="C380">
        <v>378</v>
      </c>
      <c r="D380">
        <v>13</v>
      </c>
      <c r="E380" t="s">
        <v>460</v>
      </c>
      <c r="F380">
        <v>2014</v>
      </c>
      <c r="H380">
        <v>623771</v>
      </c>
      <c r="I380">
        <v>139413</v>
      </c>
      <c r="J380">
        <v>77028</v>
      </c>
      <c r="K380">
        <v>60613</v>
      </c>
      <c r="L380">
        <v>11084</v>
      </c>
      <c r="M380">
        <v>10286</v>
      </c>
      <c r="N380">
        <v>5066</v>
      </c>
      <c r="O380">
        <v>4871</v>
      </c>
      <c r="P380">
        <v>4444</v>
      </c>
      <c r="Q380">
        <v>4262</v>
      </c>
      <c r="R380">
        <v>4152</v>
      </c>
      <c r="S380">
        <v>3086</v>
      </c>
      <c r="T380">
        <v>3004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951080</v>
      </c>
    </row>
    <row r="381" spans="1:51" hidden="1" x14ac:dyDescent="0.2">
      <c r="A381" t="s">
        <v>25</v>
      </c>
      <c r="C381">
        <v>379</v>
      </c>
      <c r="D381">
        <v>15</v>
      </c>
      <c r="E381" t="s">
        <v>461</v>
      </c>
      <c r="F381">
        <v>2014</v>
      </c>
      <c r="H381">
        <v>472999</v>
      </c>
      <c r="I381">
        <v>407909</v>
      </c>
      <c r="J381">
        <v>235033</v>
      </c>
      <c r="K381">
        <v>52765</v>
      </c>
      <c r="L381">
        <v>6267</v>
      </c>
      <c r="M381">
        <v>4068</v>
      </c>
      <c r="N381">
        <v>4057</v>
      </c>
      <c r="O381">
        <v>3065</v>
      </c>
      <c r="P381">
        <v>2114</v>
      </c>
      <c r="Q381">
        <v>1888</v>
      </c>
      <c r="R381">
        <v>1366</v>
      </c>
      <c r="S381">
        <v>1066</v>
      </c>
      <c r="T381">
        <v>692</v>
      </c>
      <c r="U381">
        <v>553</v>
      </c>
      <c r="V381">
        <v>466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1194308</v>
      </c>
    </row>
    <row r="382" spans="1:51" hidden="1" x14ac:dyDescent="0.2">
      <c r="A382" t="s">
        <v>25</v>
      </c>
      <c r="C382">
        <v>380</v>
      </c>
      <c r="D382">
        <v>12</v>
      </c>
      <c r="E382" t="s">
        <v>462</v>
      </c>
      <c r="F382">
        <v>2014</v>
      </c>
      <c r="H382">
        <v>565909</v>
      </c>
      <c r="I382">
        <v>329081</v>
      </c>
      <c r="J382">
        <v>160414</v>
      </c>
      <c r="K382">
        <v>42706</v>
      </c>
      <c r="L382">
        <v>6562</v>
      </c>
      <c r="M382">
        <v>3903</v>
      </c>
      <c r="N382">
        <v>2971</v>
      </c>
      <c r="O382">
        <v>2662</v>
      </c>
      <c r="P382">
        <v>1741</v>
      </c>
      <c r="Q382">
        <v>1376</v>
      </c>
      <c r="R382">
        <v>1050</v>
      </c>
      <c r="S382">
        <v>949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1119324</v>
      </c>
    </row>
    <row r="383" spans="1:51" hidden="1" x14ac:dyDescent="0.2">
      <c r="A383" t="s">
        <v>25</v>
      </c>
      <c r="C383">
        <v>381</v>
      </c>
      <c r="D383">
        <v>20</v>
      </c>
      <c r="E383" t="s">
        <v>463</v>
      </c>
      <c r="F383">
        <v>2014</v>
      </c>
      <c r="H383">
        <v>653391</v>
      </c>
      <c r="I383">
        <v>252241</v>
      </c>
      <c r="J383">
        <v>160810</v>
      </c>
      <c r="K383">
        <v>12937</v>
      </c>
      <c r="L383">
        <v>4739</v>
      </c>
      <c r="M383">
        <v>4129</v>
      </c>
      <c r="N383">
        <v>3482</v>
      </c>
      <c r="O383">
        <v>3431</v>
      </c>
      <c r="P383">
        <v>2238</v>
      </c>
      <c r="Q383">
        <v>1933</v>
      </c>
      <c r="R383">
        <v>1864</v>
      </c>
      <c r="S383">
        <v>1682</v>
      </c>
      <c r="T383">
        <v>845</v>
      </c>
      <c r="U383">
        <v>750</v>
      </c>
      <c r="V383">
        <v>723</v>
      </c>
      <c r="W383">
        <v>543</v>
      </c>
      <c r="X383">
        <v>499</v>
      </c>
      <c r="Y383">
        <v>487</v>
      </c>
      <c r="Z383">
        <v>360</v>
      </c>
      <c r="AA383">
        <v>350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1107434</v>
      </c>
    </row>
    <row r="384" spans="1:51" hidden="1" x14ac:dyDescent="0.2">
      <c r="A384" t="s">
        <v>25</v>
      </c>
      <c r="C384">
        <v>382</v>
      </c>
      <c r="D384">
        <v>13</v>
      </c>
      <c r="E384" t="s">
        <v>464</v>
      </c>
      <c r="F384">
        <v>2014</v>
      </c>
      <c r="H384">
        <v>486913</v>
      </c>
      <c r="I384">
        <v>281139</v>
      </c>
      <c r="J384">
        <v>230124</v>
      </c>
      <c r="K384">
        <v>24348</v>
      </c>
      <c r="L384">
        <v>15801</v>
      </c>
      <c r="M384">
        <v>5775</v>
      </c>
      <c r="N384">
        <v>3317</v>
      </c>
      <c r="O384">
        <v>2967</v>
      </c>
      <c r="P384">
        <v>2545</v>
      </c>
      <c r="Q384">
        <v>2483</v>
      </c>
      <c r="R384">
        <v>2456</v>
      </c>
      <c r="S384">
        <v>1756</v>
      </c>
      <c r="T384">
        <v>722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1060346</v>
      </c>
    </row>
    <row r="385" spans="1:51" hidden="1" x14ac:dyDescent="0.2">
      <c r="A385" t="s">
        <v>25</v>
      </c>
      <c r="C385">
        <v>383</v>
      </c>
      <c r="D385">
        <v>15</v>
      </c>
      <c r="E385" t="s">
        <v>465</v>
      </c>
      <c r="F385">
        <v>2014</v>
      </c>
      <c r="H385">
        <v>367825</v>
      </c>
      <c r="I385">
        <v>275435</v>
      </c>
      <c r="J385">
        <v>245685</v>
      </c>
      <c r="K385">
        <v>21334</v>
      </c>
      <c r="L385">
        <v>6470</v>
      </c>
      <c r="M385">
        <v>4581</v>
      </c>
      <c r="N385">
        <v>4328</v>
      </c>
      <c r="O385">
        <v>3695</v>
      </c>
      <c r="P385">
        <v>3577</v>
      </c>
      <c r="Q385">
        <v>2967</v>
      </c>
      <c r="R385">
        <v>1845</v>
      </c>
      <c r="S385">
        <v>1714</v>
      </c>
      <c r="T385">
        <v>1027</v>
      </c>
      <c r="U385">
        <v>861</v>
      </c>
      <c r="V385">
        <v>852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942196</v>
      </c>
    </row>
    <row r="386" spans="1:51" hidden="1" x14ac:dyDescent="0.2">
      <c r="A386" t="s">
        <v>25</v>
      </c>
      <c r="C386">
        <v>384</v>
      </c>
      <c r="D386">
        <v>19</v>
      </c>
      <c r="E386" t="s">
        <v>466</v>
      </c>
      <c r="F386">
        <v>2014</v>
      </c>
      <c r="H386">
        <v>485224</v>
      </c>
      <c r="I386">
        <v>397720</v>
      </c>
      <c r="J386">
        <v>160945</v>
      </c>
      <c r="K386">
        <v>25840</v>
      </c>
      <c r="L386">
        <v>19732</v>
      </c>
      <c r="M386">
        <v>5647</v>
      </c>
      <c r="N386">
        <v>5207</v>
      </c>
      <c r="O386">
        <v>4469</v>
      </c>
      <c r="P386">
        <v>4097</v>
      </c>
      <c r="Q386">
        <v>3180</v>
      </c>
      <c r="R386">
        <v>3047</v>
      </c>
      <c r="S386">
        <v>2971</v>
      </c>
      <c r="T386">
        <v>2267</v>
      </c>
      <c r="U386">
        <v>1710</v>
      </c>
      <c r="V386">
        <v>1334</v>
      </c>
      <c r="W386">
        <v>1282</v>
      </c>
      <c r="X386">
        <v>1278</v>
      </c>
      <c r="Y386">
        <v>1059</v>
      </c>
      <c r="Z386">
        <v>956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1127965</v>
      </c>
    </row>
    <row r="387" spans="1:51" hidden="1" x14ac:dyDescent="0.2">
      <c r="A387" t="s">
        <v>25</v>
      </c>
      <c r="C387">
        <v>385</v>
      </c>
      <c r="D387">
        <v>13</v>
      </c>
      <c r="E387" t="s">
        <v>467</v>
      </c>
      <c r="F387">
        <v>2014</v>
      </c>
      <c r="H387">
        <v>358616</v>
      </c>
      <c r="I387">
        <v>335181</v>
      </c>
      <c r="J387">
        <v>156466</v>
      </c>
      <c r="K387">
        <v>81006</v>
      </c>
      <c r="L387">
        <v>6905</v>
      </c>
      <c r="M387">
        <v>4473</v>
      </c>
      <c r="N387">
        <v>2505</v>
      </c>
      <c r="O387">
        <v>2448</v>
      </c>
      <c r="P387">
        <v>2079</v>
      </c>
      <c r="Q387">
        <v>2063</v>
      </c>
      <c r="R387">
        <v>1996</v>
      </c>
      <c r="S387">
        <v>1834</v>
      </c>
      <c r="T387">
        <v>817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956389</v>
      </c>
    </row>
    <row r="388" spans="1:51" hidden="1" x14ac:dyDescent="0.2">
      <c r="A388" t="s">
        <v>25</v>
      </c>
      <c r="C388">
        <v>386</v>
      </c>
      <c r="D388">
        <v>14</v>
      </c>
      <c r="E388" t="s">
        <v>468</v>
      </c>
      <c r="F388">
        <v>2014</v>
      </c>
      <c r="H388">
        <v>360242</v>
      </c>
      <c r="I388">
        <v>355068</v>
      </c>
      <c r="J388">
        <v>252640</v>
      </c>
      <c r="K388">
        <v>36134</v>
      </c>
      <c r="L388">
        <v>16034</v>
      </c>
      <c r="M388">
        <v>7658</v>
      </c>
      <c r="N388">
        <v>6686</v>
      </c>
      <c r="O388">
        <v>6376</v>
      </c>
      <c r="P388">
        <v>3833</v>
      </c>
      <c r="Q388">
        <v>3648</v>
      </c>
      <c r="R388">
        <v>2791</v>
      </c>
      <c r="S388">
        <v>2322</v>
      </c>
      <c r="T388">
        <v>2005</v>
      </c>
      <c r="U388">
        <v>1565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1057002</v>
      </c>
    </row>
    <row r="389" spans="1:51" hidden="1" x14ac:dyDescent="0.2">
      <c r="A389" t="s">
        <v>25</v>
      </c>
      <c r="C389">
        <v>387</v>
      </c>
      <c r="D389">
        <v>16</v>
      </c>
      <c r="E389" t="s">
        <v>469</v>
      </c>
      <c r="F389">
        <v>2014</v>
      </c>
      <c r="H389">
        <v>528880</v>
      </c>
      <c r="I389">
        <v>370666</v>
      </c>
      <c r="J389">
        <v>162983</v>
      </c>
      <c r="K389">
        <v>9539</v>
      </c>
      <c r="L389">
        <v>7779</v>
      </c>
      <c r="M389">
        <v>2601</v>
      </c>
      <c r="N389">
        <v>2493</v>
      </c>
      <c r="O389">
        <v>2448</v>
      </c>
      <c r="P389">
        <v>2425</v>
      </c>
      <c r="Q389">
        <v>1431</v>
      </c>
      <c r="R389">
        <v>980</v>
      </c>
      <c r="S389">
        <v>858</v>
      </c>
      <c r="T389">
        <v>837</v>
      </c>
      <c r="U389">
        <v>749</v>
      </c>
      <c r="V389">
        <v>713</v>
      </c>
      <c r="W389">
        <v>478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1095860</v>
      </c>
    </row>
    <row r="390" spans="1:51" hidden="1" x14ac:dyDescent="0.2">
      <c r="A390" t="s">
        <v>25</v>
      </c>
      <c r="C390">
        <v>388</v>
      </c>
      <c r="D390">
        <v>14</v>
      </c>
      <c r="E390" t="s">
        <v>470</v>
      </c>
      <c r="F390">
        <v>2014</v>
      </c>
      <c r="H390">
        <v>532981</v>
      </c>
      <c r="I390">
        <v>300655</v>
      </c>
      <c r="J390">
        <v>211759</v>
      </c>
      <c r="K390">
        <v>42911</v>
      </c>
      <c r="L390">
        <v>11793</v>
      </c>
      <c r="M390">
        <v>5213</v>
      </c>
      <c r="N390">
        <v>1734</v>
      </c>
      <c r="O390">
        <v>1542</v>
      </c>
      <c r="P390">
        <v>1451</v>
      </c>
      <c r="Q390">
        <v>1063</v>
      </c>
      <c r="R390">
        <v>818</v>
      </c>
      <c r="S390">
        <v>734</v>
      </c>
      <c r="T390">
        <v>382</v>
      </c>
      <c r="U390">
        <v>348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1113384</v>
      </c>
    </row>
    <row r="391" spans="1:51" hidden="1" x14ac:dyDescent="0.2">
      <c r="A391" t="s">
        <v>25</v>
      </c>
      <c r="C391">
        <v>389</v>
      </c>
      <c r="D391">
        <v>15</v>
      </c>
      <c r="E391" t="s">
        <v>471</v>
      </c>
      <c r="F391">
        <v>2014</v>
      </c>
      <c r="H391">
        <v>423475</v>
      </c>
      <c r="I391">
        <v>213609</v>
      </c>
      <c r="J391">
        <v>199516</v>
      </c>
      <c r="K391">
        <v>141743</v>
      </c>
      <c r="L391">
        <v>5828</v>
      </c>
      <c r="M391">
        <v>3915</v>
      </c>
      <c r="N391">
        <v>3911</v>
      </c>
      <c r="O391">
        <v>3025</v>
      </c>
      <c r="P391">
        <v>2708</v>
      </c>
      <c r="Q391">
        <v>2092</v>
      </c>
      <c r="R391">
        <v>1967</v>
      </c>
      <c r="S391">
        <v>992</v>
      </c>
      <c r="T391">
        <v>601</v>
      </c>
      <c r="U391">
        <v>441</v>
      </c>
      <c r="V391">
        <v>440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1004263</v>
      </c>
    </row>
    <row r="392" spans="1:51" hidden="1" x14ac:dyDescent="0.2">
      <c r="A392" t="s">
        <v>25</v>
      </c>
      <c r="C392">
        <v>390</v>
      </c>
      <c r="D392">
        <v>16</v>
      </c>
      <c r="E392" t="s">
        <v>472</v>
      </c>
      <c r="F392">
        <v>2014</v>
      </c>
      <c r="H392">
        <v>758482</v>
      </c>
      <c r="I392">
        <v>191222</v>
      </c>
      <c r="J392">
        <v>173085</v>
      </c>
      <c r="K392">
        <v>106984</v>
      </c>
      <c r="L392">
        <v>89147</v>
      </c>
      <c r="M392">
        <v>6205</v>
      </c>
      <c r="N392">
        <v>4639</v>
      </c>
      <c r="O392">
        <v>3409</v>
      </c>
      <c r="P392">
        <v>1591</v>
      </c>
      <c r="Q392">
        <v>1548</v>
      </c>
      <c r="R392">
        <v>1486</v>
      </c>
      <c r="S392">
        <v>1185</v>
      </c>
      <c r="T392">
        <v>1094</v>
      </c>
      <c r="U392">
        <v>992</v>
      </c>
      <c r="V392">
        <v>628</v>
      </c>
      <c r="W392">
        <v>624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1342321</v>
      </c>
    </row>
    <row r="393" spans="1:51" hidden="1" x14ac:dyDescent="0.2">
      <c r="A393" t="s">
        <v>25</v>
      </c>
      <c r="C393">
        <v>391</v>
      </c>
      <c r="D393">
        <v>25</v>
      </c>
      <c r="E393" t="s">
        <v>473</v>
      </c>
      <c r="F393">
        <v>2014</v>
      </c>
      <c r="H393">
        <v>599702</v>
      </c>
      <c r="I393">
        <v>319490</v>
      </c>
      <c r="J393">
        <v>198237</v>
      </c>
      <c r="K393">
        <v>32358</v>
      </c>
      <c r="L393">
        <v>12727</v>
      </c>
      <c r="M393">
        <v>4506</v>
      </c>
      <c r="N393">
        <v>4198</v>
      </c>
      <c r="O393">
        <v>4130</v>
      </c>
      <c r="P393">
        <v>3836</v>
      </c>
      <c r="Q393">
        <v>3496</v>
      </c>
      <c r="R393">
        <v>2684</v>
      </c>
      <c r="S393">
        <v>2530</v>
      </c>
      <c r="T393">
        <v>1526</v>
      </c>
      <c r="U393">
        <v>1225</v>
      </c>
      <c r="V393">
        <v>1183</v>
      </c>
      <c r="W393">
        <v>996</v>
      </c>
      <c r="X393">
        <v>978</v>
      </c>
      <c r="Y393">
        <v>977</v>
      </c>
      <c r="Z393">
        <v>788</v>
      </c>
      <c r="AA393">
        <v>773</v>
      </c>
      <c r="AB393">
        <v>656</v>
      </c>
      <c r="AC393">
        <v>649</v>
      </c>
      <c r="AD393">
        <v>623</v>
      </c>
      <c r="AE393">
        <v>503</v>
      </c>
      <c r="AF393">
        <v>491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1199262</v>
      </c>
    </row>
    <row r="394" spans="1:51" hidden="1" x14ac:dyDescent="0.2">
      <c r="A394" t="s">
        <v>25</v>
      </c>
      <c r="C394">
        <v>392</v>
      </c>
      <c r="D394">
        <v>11</v>
      </c>
      <c r="E394" t="s">
        <v>474</v>
      </c>
      <c r="F394">
        <v>2014</v>
      </c>
      <c r="H394">
        <v>604449</v>
      </c>
      <c r="I394">
        <v>182476</v>
      </c>
      <c r="J394">
        <v>128737</v>
      </c>
      <c r="K394">
        <v>59116</v>
      </c>
      <c r="L394">
        <v>9727</v>
      </c>
      <c r="M394">
        <v>6915</v>
      </c>
      <c r="N394">
        <v>5690</v>
      </c>
      <c r="O394">
        <v>4448</v>
      </c>
      <c r="P394">
        <v>4117</v>
      </c>
      <c r="Q394">
        <v>2580</v>
      </c>
      <c r="R394">
        <v>1455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1009710</v>
      </c>
    </row>
    <row r="395" spans="1:51" hidden="1" x14ac:dyDescent="0.2">
      <c r="A395" t="s">
        <v>25</v>
      </c>
      <c r="C395">
        <v>393</v>
      </c>
      <c r="D395">
        <v>15</v>
      </c>
      <c r="E395" t="s">
        <v>475</v>
      </c>
      <c r="F395">
        <v>2014</v>
      </c>
      <c r="H395">
        <v>514622</v>
      </c>
      <c r="I395">
        <v>227886</v>
      </c>
      <c r="J395">
        <v>226284</v>
      </c>
      <c r="K395">
        <v>62674</v>
      </c>
      <c r="L395">
        <v>8978</v>
      </c>
      <c r="M395">
        <v>6183</v>
      </c>
      <c r="N395">
        <v>4659</v>
      </c>
      <c r="O395">
        <v>3376</v>
      </c>
      <c r="P395">
        <v>3076</v>
      </c>
      <c r="Q395">
        <v>1842</v>
      </c>
      <c r="R395">
        <v>1723</v>
      </c>
      <c r="S395">
        <v>978</v>
      </c>
      <c r="T395">
        <v>785</v>
      </c>
      <c r="U395">
        <v>665</v>
      </c>
      <c r="V395">
        <v>626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1064357</v>
      </c>
    </row>
    <row r="396" spans="1:51" hidden="1" x14ac:dyDescent="0.2">
      <c r="A396" t="s">
        <v>25</v>
      </c>
      <c r="C396">
        <v>394</v>
      </c>
      <c r="D396">
        <v>10</v>
      </c>
      <c r="E396" t="s">
        <v>476</v>
      </c>
      <c r="F396">
        <v>2014</v>
      </c>
      <c r="H396">
        <v>544277</v>
      </c>
      <c r="I396">
        <v>217891</v>
      </c>
      <c r="J396">
        <v>180891</v>
      </c>
      <c r="K396">
        <v>86109</v>
      </c>
      <c r="L396">
        <v>5669</v>
      </c>
      <c r="M396">
        <v>5043</v>
      </c>
      <c r="N396">
        <v>2847</v>
      </c>
      <c r="O396">
        <v>2778</v>
      </c>
      <c r="P396">
        <v>2169</v>
      </c>
      <c r="Q396">
        <v>1599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1049273</v>
      </c>
    </row>
    <row r="397" spans="1:51" hidden="1" x14ac:dyDescent="0.2">
      <c r="A397" t="s">
        <v>25</v>
      </c>
      <c r="C397">
        <v>395</v>
      </c>
      <c r="D397">
        <v>21</v>
      </c>
      <c r="E397" t="s">
        <v>477</v>
      </c>
      <c r="F397">
        <v>2014</v>
      </c>
      <c r="H397">
        <v>574633</v>
      </c>
      <c r="I397">
        <v>243890</v>
      </c>
      <c r="J397">
        <v>173572</v>
      </c>
      <c r="K397">
        <v>36673</v>
      </c>
      <c r="L397">
        <v>10158</v>
      </c>
      <c r="M397">
        <v>7858</v>
      </c>
      <c r="N397">
        <v>4795</v>
      </c>
      <c r="O397">
        <v>2847</v>
      </c>
      <c r="P397">
        <v>2715</v>
      </c>
      <c r="Q397">
        <v>2675</v>
      </c>
      <c r="R397">
        <v>2396</v>
      </c>
      <c r="S397">
        <v>2160</v>
      </c>
      <c r="T397">
        <v>2082</v>
      </c>
      <c r="U397">
        <v>1953</v>
      </c>
      <c r="V397">
        <v>1858</v>
      </c>
      <c r="W397">
        <v>1759</v>
      </c>
      <c r="X397">
        <v>1338</v>
      </c>
      <c r="Y397">
        <v>1066</v>
      </c>
      <c r="Z397">
        <v>1054</v>
      </c>
      <c r="AA397">
        <v>731</v>
      </c>
      <c r="AB397">
        <v>655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1076868</v>
      </c>
    </row>
    <row r="398" spans="1:51" hidden="1" x14ac:dyDescent="0.2">
      <c r="A398" t="s">
        <v>25</v>
      </c>
      <c r="C398">
        <v>396</v>
      </c>
      <c r="D398">
        <v>16</v>
      </c>
      <c r="E398" t="s">
        <v>478</v>
      </c>
      <c r="F398">
        <v>2014</v>
      </c>
      <c r="H398">
        <v>583716</v>
      </c>
      <c r="I398">
        <v>283453</v>
      </c>
      <c r="J398">
        <v>134708</v>
      </c>
      <c r="K398">
        <v>34834</v>
      </c>
      <c r="L398">
        <v>7804</v>
      </c>
      <c r="M398">
        <v>5191</v>
      </c>
      <c r="N398">
        <v>4243</v>
      </c>
      <c r="O398">
        <v>3657</v>
      </c>
      <c r="P398">
        <v>3646</v>
      </c>
      <c r="Q398">
        <v>2584</v>
      </c>
      <c r="R398">
        <v>2453</v>
      </c>
      <c r="S398">
        <v>1416</v>
      </c>
      <c r="T398">
        <v>771</v>
      </c>
      <c r="U398">
        <v>765</v>
      </c>
      <c r="V398">
        <v>602</v>
      </c>
      <c r="W398">
        <v>557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1070400</v>
      </c>
    </row>
    <row r="399" spans="1:51" hidden="1" x14ac:dyDescent="0.2">
      <c r="A399" t="s">
        <v>25</v>
      </c>
      <c r="C399">
        <v>397</v>
      </c>
      <c r="D399">
        <v>29</v>
      </c>
      <c r="E399" t="s">
        <v>479</v>
      </c>
      <c r="F399">
        <v>2014</v>
      </c>
      <c r="H399">
        <v>426589</v>
      </c>
      <c r="I399">
        <v>253483</v>
      </c>
      <c r="J399">
        <v>213397</v>
      </c>
      <c r="K399">
        <v>24185</v>
      </c>
      <c r="L399">
        <v>5223</v>
      </c>
      <c r="M399">
        <v>3809</v>
      </c>
      <c r="N399">
        <v>3512</v>
      </c>
      <c r="O399">
        <v>3184</v>
      </c>
      <c r="P399">
        <v>3117</v>
      </c>
      <c r="Q399">
        <v>3101</v>
      </c>
      <c r="R399">
        <v>2725</v>
      </c>
      <c r="S399">
        <v>2677</v>
      </c>
      <c r="T399">
        <v>2553</v>
      </c>
      <c r="U399">
        <v>2356</v>
      </c>
      <c r="V399">
        <v>2235</v>
      </c>
      <c r="W399">
        <v>2057</v>
      </c>
      <c r="X399">
        <v>2052</v>
      </c>
      <c r="Y399">
        <v>1657</v>
      </c>
      <c r="Z399">
        <v>1571</v>
      </c>
      <c r="AA399">
        <v>1529</v>
      </c>
      <c r="AB399">
        <v>1063</v>
      </c>
      <c r="AC399">
        <v>1006</v>
      </c>
      <c r="AD399">
        <v>951</v>
      </c>
      <c r="AE399">
        <v>872</v>
      </c>
      <c r="AF399">
        <v>691</v>
      </c>
      <c r="AG399">
        <v>650</v>
      </c>
      <c r="AH399">
        <v>643</v>
      </c>
      <c r="AI399">
        <v>583</v>
      </c>
      <c r="AJ399">
        <v>497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967968</v>
      </c>
    </row>
    <row r="400" spans="1:51" hidden="1" x14ac:dyDescent="0.2">
      <c r="A400" t="s">
        <v>25</v>
      </c>
      <c r="C400">
        <v>398</v>
      </c>
      <c r="D400">
        <v>16</v>
      </c>
      <c r="E400" t="s">
        <v>480</v>
      </c>
      <c r="F400">
        <v>2014</v>
      </c>
      <c r="H400">
        <v>534583</v>
      </c>
      <c r="I400">
        <v>420524</v>
      </c>
      <c r="J400">
        <v>118909</v>
      </c>
      <c r="K400">
        <v>7447</v>
      </c>
      <c r="L400">
        <v>4654</v>
      </c>
      <c r="M400">
        <v>3696</v>
      </c>
      <c r="N400">
        <v>3526</v>
      </c>
      <c r="O400">
        <v>2808</v>
      </c>
      <c r="P400">
        <v>2425</v>
      </c>
      <c r="Q400">
        <v>1470</v>
      </c>
      <c r="R400">
        <v>1248</v>
      </c>
      <c r="S400">
        <v>939</v>
      </c>
      <c r="T400">
        <v>753</v>
      </c>
      <c r="U400">
        <v>620</v>
      </c>
      <c r="V400">
        <v>506</v>
      </c>
      <c r="W400">
        <v>498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1104606</v>
      </c>
    </row>
    <row r="401" spans="1:51" hidden="1" x14ac:dyDescent="0.2">
      <c r="A401" t="s">
        <v>25</v>
      </c>
      <c r="C401">
        <v>399</v>
      </c>
      <c r="D401">
        <v>14</v>
      </c>
      <c r="E401" t="s">
        <v>481</v>
      </c>
      <c r="F401">
        <v>2014</v>
      </c>
      <c r="H401">
        <v>595918</v>
      </c>
      <c r="I401">
        <v>231252</v>
      </c>
      <c r="J401">
        <v>142833</v>
      </c>
      <c r="K401">
        <v>6323</v>
      </c>
      <c r="L401">
        <v>5645</v>
      </c>
      <c r="M401">
        <v>5588</v>
      </c>
      <c r="N401">
        <v>2542</v>
      </c>
      <c r="O401">
        <v>2279</v>
      </c>
      <c r="P401">
        <v>2095</v>
      </c>
      <c r="Q401">
        <v>1746</v>
      </c>
      <c r="R401">
        <v>916</v>
      </c>
      <c r="S401">
        <v>872</v>
      </c>
      <c r="T401">
        <v>695</v>
      </c>
      <c r="U401">
        <v>561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999265</v>
      </c>
    </row>
    <row r="402" spans="1:51" hidden="1" x14ac:dyDescent="0.2">
      <c r="A402" t="s">
        <v>25</v>
      </c>
      <c r="C402">
        <v>400</v>
      </c>
      <c r="D402">
        <v>12</v>
      </c>
      <c r="E402" t="s">
        <v>482</v>
      </c>
      <c r="F402">
        <v>2014</v>
      </c>
      <c r="H402">
        <v>474978</v>
      </c>
      <c r="I402">
        <v>273977</v>
      </c>
      <c r="J402">
        <v>137127</v>
      </c>
      <c r="K402">
        <v>12445</v>
      </c>
      <c r="L402">
        <v>7123</v>
      </c>
      <c r="M402">
        <v>6201</v>
      </c>
      <c r="N402">
        <v>5848</v>
      </c>
      <c r="O402">
        <v>2186</v>
      </c>
      <c r="P402">
        <v>2034</v>
      </c>
      <c r="Q402">
        <v>2008</v>
      </c>
      <c r="R402">
        <v>1333</v>
      </c>
      <c r="S402">
        <v>1021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926281</v>
      </c>
    </row>
    <row r="403" spans="1:51" hidden="1" x14ac:dyDescent="0.2">
      <c r="A403" t="s">
        <v>25</v>
      </c>
      <c r="C403">
        <v>401</v>
      </c>
      <c r="D403">
        <v>16</v>
      </c>
      <c r="E403" t="s">
        <v>483</v>
      </c>
      <c r="F403">
        <v>2014</v>
      </c>
      <c r="H403">
        <v>498378</v>
      </c>
      <c r="I403">
        <v>332031</v>
      </c>
      <c r="J403">
        <v>156973</v>
      </c>
      <c r="K403">
        <v>6286</v>
      </c>
      <c r="L403">
        <v>5748</v>
      </c>
      <c r="M403">
        <v>5651</v>
      </c>
      <c r="N403">
        <v>4195</v>
      </c>
      <c r="O403">
        <v>4083</v>
      </c>
      <c r="P403">
        <v>3421</v>
      </c>
      <c r="Q403">
        <v>2861</v>
      </c>
      <c r="R403">
        <v>2065</v>
      </c>
      <c r="S403">
        <v>1993</v>
      </c>
      <c r="T403">
        <v>1448</v>
      </c>
      <c r="U403">
        <v>860</v>
      </c>
      <c r="V403">
        <v>810</v>
      </c>
      <c r="W403">
        <v>791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1027594</v>
      </c>
    </row>
    <row r="404" spans="1:51" hidden="1" x14ac:dyDescent="0.2">
      <c r="A404" t="s">
        <v>25</v>
      </c>
      <c r="C404">
        <v>402</v>
      </c>
      <c r="D404">
        <v>14</v>
      </c>
      <c r="E404" t="s">
        <v>484</v>
      </c>
      <c r="F404">
        <v>2014</v>
      </c>
      <c r="H404">
        <v>409907</v>
      </c>
      <c r="I404">
        <v>271478</v>
      </c>
      <c r="J404">
        <v>190200</v>
      </c>
      <c r="K404">
        <v>93861</v>
      </c>
      <c r="L404">
        <v>10496</v>
      </c>
      <c r="M404">
        <v>4332</v>
      </c>
      <c r="N404">
        <v>3019</v>
      </c>
      <c r="O404">
        <v>2711</v>
      </c>
      <c r="P404">
        <v>2697</v>
      </c>
      <c r="Q404">
        <v>2304</v>
      </c>
      <c r="R404">
        <v>1440</v>
      </c>
      <c r="S404">
        <v>1189</v>
      </c>
      <c r="T404">
        <v>1152</v>
      </c>
      <c r="U404">
        <v>855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995641</v>
      </c>
    </row>
    <row r="405" spans="1:51" hidden="1" x14ac:dyDescent="0.2">
      <c r="A405" t="s">
        <v>25</v>
      </c>
      <c r="C405">
        <v>403</v>
      </c>
      <c r="D405">
        <v>15</v>
      </c>
      <c r="E405" t="s">
        <v>485</v>
      </c>
      <c r="F405">
        <v>2014</v>
      </c>
      <c r="H405">
        <v>518258</v>
      </c>
      <c r="I405">
        <v>277573</v>
      </c>
      <c r="J405">
        <v>106049</v>
      </c>
      <c r="K405">
        <v>84213</v>
      </c>
      <c r="L405">
        <v>7639</v>
      </c>
      <c r="M405">
        <v>6737</v>
      </c>
      <c r="N405">
        <v>3703</v>
      </c>
      <c r="O405">
        <v>3338</v>
      </c>
      <c r="P405">
        <v>2038</v>
      </c>
      <c r="Q405">
        <v>1885</v>
      </c>
      <c r="R405">
        <v>1806</v>
      </c>
      <c r="S405">
        <v>1567</v>
      </c>
      <c r="T405">
        <v>1402</v>
      </c>
      <c r="U405">
        <v>964</v>
      </c>
      <c r="V405">
        <v>719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1017891</v>
      </c>
    </row>
    <row r="406" spans="1:51" hidden="1" x14ac:dyDescent="0.2">
      <c r="A406" t="s">
        <v>25</v>
      </c>
      <c r="C406">
        <v>404</v>
      </c>
      <c r="D406">
        <v>13</v>
      </c>
      <c r="E406" t="s">
        <v>486</v>
      </c>
      <c r="F406">
        <v>2014</v>
      </c>
      <c r="H406">
        <v>546934</v>
      </c>
      <c r="I406">
        <v>239882</v>
      </c>
      <c r="J406">
        <v>196294</v>
      </c>
      <c r="K406">
        <v>29169</v>
      </c>
      <c r="L406">
        <v>11521</v>
      </c>
      <c r="M406">
        <v>6151</v>
      </c>
      <c r="N406">
        <v>5547</v>
      </c>
      <c r="O406">
        <v>3187</v>
      </c>
      <c r="P406">
        <v>3145</v>
      </c>
      <c r="Q406">
        <v>2670</v>
      </c>
      <c r="R406">
        <v>2617</v>
      </c>
      <c r="S406">
        <v>2170</v>
      </c>
      <c r="T406">
        <v>1260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1050547</v>
      </c>
    </row>
    <row r="407" spans="1:51" hidden="1" x14ac:dyDescent="0.2">
      <c r="A407" t="s">
        <v>25</v>
      </c>
      <c r="C407">
        <v>405</v>
      </c>
      <c r="D407">
        <v>14</v>
      </c>
      <c r="E407" t="s">
        <v>487</v>
      </c>
      <c r="F407">
        <v>2014</v>
      </c>
      <c r="H407">
        <v>525132</v>
      </c>
      <c r="I407">
        <v>289603</v>
      </c>
      <c r="J407">
        <v>242913</v>
      </c>
      <c r="K407">
        <v>27011</v>
      </c>
      <c r="L407">
        <v>12945</v>
      </c>
      <c r="M407">
        <v>9964</v>
      </c>
      <c r="N407">
        <v>7871</v>
      </c>
      <c r="O407">
        <v>3610</v>
      </c>
      <c r="P407">
        <v>2790</v>
      </c>
      <c r="Q407">
        <v>2522</v>
      </c>
      <c r="R407">
        <v>1613</v>
      </c>
      <c r="S407">
        <v>1384</v>
      </c>
      <c r="T407">
        <v>1378</v>
      </c>
      <c r="U407">
        <v>1105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1129841</v>
      </c>
    </row>
    <row r="408" spans="1:51" hidden="1" x14ac:dyDescent="0.2">
      <c r="A408" t="s">
        <v>25</v>
      </c>
      <c r="C408">
        <v>406</v>
      </c>
      <c r="D408">
        <v>12</v>
      </c>
      <c r="E408" t="s">
        <v>488</v>
      </c>
      <c r="F408">
        <v>2014</v>
      </c>
      <c r="H408">
        <v>398578</v>
      </c>
      <c r="I408">
        <v>288304</v>
      </c>
      <c r="J408">
        <v>183940</v>
      </c>
      <c r="K408">
        <v>160112</v>
      </c>
      <c r="L408">
        <v>16401</v>
      </c>
      <c r="M408">
        <v>12031</v>
      </c>
      <c r="N408">
        <v>3514</v>
      </c>
      <c r="O408">
        <v>3230</v>
      </c>
      <c r="P408">
        <v>3165</v>
      </c>
      <c r="Q408">
        <v>3124</v>
      </c>
      <c r="R408">
        <v>2861</v>
      </c>
      <c r="S408">
        <v>2608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1077868</v>
      </c>
    </row>
    <row r="409" spans="1:51" hidden="1" x14ac:dyDescent="0.2">
      <c r="A409" t="s">
        <v>25</v>
      </c>
      <c r="C409">
        <v>407</v>
      </c>
      <c r="D409">
        <v>16</v>
      </c>
      <c r="E409" t="s">
        <v>489</v>
      </c>
      <c r="F409">
        <v>2014</v>
      </c>
      <c r="H409">
        <v>360357</v>
      </c>
      <c r="I409">
        <v>234682</v>
      </c>
      <c r="J409">
        <v>234032</v>
      </c>
      <c r="K409">
        <v>170994</v>
      </c>
      <c r="L409">
        <v>12776</v>
      </c>
      <c r="M409">
        <v>9967</v>
      </c>
      <c r="N409">
        <v>8138</v>
      </c>
      <c r="O409">
        <v>6144</v>
      </c>
      <c r="P409">
        <v>4021</v>
      </c>
      <c r="Q409">
        <v>3745</v>
      </c>
      <c r="R409">
        <v>3491</v>
      </c>
      <c r="S409">
        <v>3333</v>
      </c>
      <c r="T409">
        <v>2788</v>
      </c>
      <c r="U409">
        <v>2144</v>
      </c>
      <c r="V409">
        <v>1929</v>
      </c>
      <c r="W409">
        <v>1730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1060271</v>
      </c>
    </row>
    <row r="410" spans="1:51" hidden="1" x14ac:dyDescent="0.2">
      <c r="A410" t="s">
        <v>25</v>
      </c>
      <c r="C410">
        <v>408</v>
      </c>
      <c r="D410">
        <v>17</v>
      </c>
      <c r="E410" t="s">
        <v>490</v>
      </c>
      <c r="F410">
        <v>2014</v>
      </c>
      <c r="H410">
        <v>417546</v>
      </c>
      <c r="I410">
        <v>366519</v>
      </c>
      <c r="J410">
        <v>156170</v>
      </c>
      <c r="K410">
        <v>29104</v>
      </c>
      <c r="L410">
        <v>12682</v>
      </c>
      <c r="M410">
        <v>8959</v>
      </c>
      <c r="N410">
        <v>8089</v>
      </c>
      <c r="O410">
        <v>6646</v>
      </c>
      <c r="P410">
        <v>3575</v>
      </c>
      <c r="Q410">
        <v>2550</v>
      </c>
      <c r="R410">
        <v>2504</v>
      </c>
      <c r="S410">
        <v>2373</v>
      </c>
      <c r="T410">
        <v>2319</v>
      </c>
      <c r="U410">
        <v>2205</v>
      </c>
      <c r="V410">
        <v>2195</v>
      </c>
      <c r="W410">
        <v>1992</v>
      </c>
      <c r="X410">
        <v>1544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1026972</v>
      </c>
    </row>
    <row r="411" spans="1:51" hidden="1" x14ac:dyDescent="0.2">
      <c r="A411" t="s">
        <v>25</v>
      </c>
      <c r="C411">
        <v>409</v>
      </c>
      <c r="D411">
        <v>16</v>
      </c>
      <c r="E411" t="s">
        <v>491</v>
      </c>
      <c r="F411">
        <v>2014</v>
      </c>
      <c r="H411">
        <v>360501</v>
      </c>
      <c r="I411">
        <v>279158</v>
      </c>
      <c r="J411">
        <v>276543</v>
      </c>
      <c r="K411">
        <v>23298</v>
      </c>
      <c r="L411">
        <v>7660</v>
      </c>
      <c r="M411">
        <v>4740</v>
      </c>
      <c r="N411">
        <v>4130</v>
      </c>
      <c r="O411">
        <v>4045</v>
      </c>
      <c r="P411">
        <v>3287</v>
      </c>
      <c r="Q411">
        <v>2003</v>
      </c>
      <c r="R411">
        <v>1669</v>
      </c>
      <c r="S411">
        <v>1576</v>
      </c>
      <c r="T411">
        <v>1326</v>
      </c>
      <c r="U411">
        <v>1296</v>
      </c>
      <c r="V411">
        <v>834</v>
      </c>
      <c r="W411">
        <v>830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972896</v>
      </c>
    </row>
    <row r="412" spans="1:51" hidden="1" x14ac:dyDescent="0.2">
      <c r="A412" t="s">
        <v>25</v>
      </c>
      <c r="C412">
        <v>410</v>
      </c>
      <c r="D412">
        <v>15</v>
      </c>
      <c r="E412" t="s">
        <v>492</v>
      </c>
      <c r="F412">
        <v>2014</v>
      </c>
      <c r="H412">
        <v>412575</v>
      </c>
      <c r="I412">
        <v>325212</v>
      </c>
      <c r="J412">
        <v>194759</v>
      </c>
      <c r="K412">
        <v>33075</v>
      </c>
      <c r="L412">
        <v>9633</v>
      </c>
      <c r="M412">
        <v>8635</v>
      </c>
      <c r="N412">
        <v>2970</v>
      </c>
      <c r="O412">
        <v>2773</v>
      </c>
      <c r="P412">
        <v>2234</v>
      </c>
      <c r="Q412">
        <v>1785</v>
      </c>
      <c r="R412">
        <v>1158</v>
      </c>
      <c r="S412">
        <v>1003</v>
      </c>
      <c r="T412">
        <v>951</v>
      </c>
      <c r="U412">
        <v>847</v>
      </c>
      <c r="V412">
        <v>704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998314</v>
      </c>
    </row>
    <row r="413" spans="1:51" hidden="1" x14ac:dyDescent="0.2">
      <c r="A413" t="s">
        <v>25</v>
      </c>
      <c r="C413">
        <v>411</v>
      </c>
      <c r="D413">
        <v>22</v>
      </c>
      <c r="E413" t="s">
        <v>493</v>
      </c>
      <c r="F413">
        <v>2014</v>
      </c>
      <c r="H413">
        <v>518834</v>
      </c>
      <c r="I413">
        <v>208661</v>
      </c>
      <c r="J413">
        <v>200176</v>
      </c>
      <c r="K413">
        <v>197098</v>
      </c>
      <c r="L413">
        <v>9618</v>
      </c>
      <c r="M413">
        <v>9277</v>
      </c>
      <c r="N413">
        <v>5871</v>
      </c>
      <c r="O413">
        <v>5128</v>
      </c>
      <c r="P413">
        <v>4626</v>
      </c>
      <c r="Q413">
        <v>4401</v>
      </c>
      <c r="R413">
        <v>4214</v>
      </c>
      <c r="S413">
        <v>4148</v>
      </c>
      <c r="T413">
        <v>3987</v>
      </c>
      <c r="U413">
        <v>3978</v>
      </c>
      <c r="V413">
        <v>3472</v>
      </c>
      <c r="W413">
        <v>3398</v>
      </c>
      <c r="X413">
        <v>3214</v>
      </c>
      <c r="Y413">
        <v>2771</v>
      </c>
      <c r="Z413">
        <v>2592</v>
      </c>
      <c r="AA413">
        <v>2440</v>
      </c>
      <c r="AB413">
        <v>1881</v>
      </c>
      <c r="AC413">
        <v>1818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1201603</v>
      </c>
    </row>
    <row r="414" spans="1:51" hidden="1" x14ac:dyDescent="0.2">
      <c r="A414" t="s">
        <v>25</v>
      </c>
      <c r="C414">
        <v>412</v>
      </c>
      <c r="D414">
        <v>19</v>
      </c>
      <c r="E414" t="s">
        <v>494</v>
      </c>
      <c r="F414">
        <v>2014</v>
      </c>
      <c r="H414">
        <v>455274</v>
      </c>
      <c r="I414">
        <v>309858</v>
      </c>
      <c r="J414">
        <v>242366</v>
      </c>
      <c r="K414">
        <v>52598</v>
      </c>
      <c r="L414">
        <v>10031</v>
      </c>
      <c r="M414">
        <v>7412</v>
      </c>
      <c r="N414">
        <v>6304</v>
      </c>
      <c r="O414">
        <v>5115</v>
      </c>
      <c r="P414">
        <v>4708</v>
      </c>
      <c r="Q414">
        <v>4280</v>
      </c>
      <c r="R414">
        <v>4214</v>
      </c>
      <c r="S414">
        <v>2425</v>
      </c>
      <c r="T414">
        <v>2225</v>
      </c>
      <c r="U414">
        <v>1826</v>
      </c>
      <c r="V414">
        <v>1782</v>
      </c>
      <c r="W414">
        <v>1632</v>
      </c>
      <c r="X414">
        <v>1617</v>
      </c>
      <c r="Y414">
        <v>1494</v>
      </c>
      <c r="Z414">
        <v>1427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1116588</v>
      </c>
    </row>
    <row r="415" spans="1:51" hidden="1" x14ac:dyDescent="0.2">
      <c r="A415" t="s">
        <v>25</v>
      </c>
      <c r="C415">
        <v>413</v>
      </c>
      <c r="D415">
        <v>30</v>
      </c>
      <c r="E415" t="s">
        <v>495</v>
      </c>
      <c r="F415">
        <v>2014</v>
      </c>
      <c r="H415">
        <v>561106</v>
      </c>
      <c r="I415">
        <v>288357</v>
      </c>
      <c r="J415">
        <v>64449</v>
      </c>
      <c r="K415">
        <v>56771</v>
      </c>
      <c r="L415">
        <v>41429</v>
      </c>
      <c r="M415">
        <v>4696</v>
      </c>
      <c r="N415">
        <v>1901</v>
      </c>
      <c r="O415">
        <v>1486</v>
      </c>
      <c r="P415">
        <v>1174</v>
      </c>
      <c r="Q415">
        <v>1100</v>
      </c>
      <c r="R415">
        <v>930</v>
      </c>
      <c r="S415">
        <v>851</v>
      </c>
      <c r="T415">
        <v>849</v>
      </c>
      <c r="U415">
        <v>743</v>
      </c>
      <c r="V415">
        <v>719</v>
      </c>
      <c r="W415">
        <v>694</v>
      </c>
      <c r="X415">
        <v>661</v>
      </c>
      <c r="Y415">
        <v>608</v>
      </c>
      <c r="Z415">
        <v>575</v>
      </c>
      <c r="AA415">
        <v>572</v>
      </c>
      <c r="AB415">
        <v>542</v>
      </c>
      <c r="AC415">
        <v>523</v>
      </c>
      <c r="AD415">
        <v>502</v>
      </c>
      <c r="AE415">
        <v>445</v>
      </c>
      <c r="AF415">
        <v>441</v>
      </c>
      <c r="AG415">
        <v>390</v>
      </c>
      <c r="AH415">
        <v>389</v>
      </c>
      <c r="AI415">
        <v>361</v>
      </c>
      <c r="AJ415">
        <v>337</v>
      </c>
      <c r="AK415">
        <v>282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1033883</v>
      </c>
    </row>
    <row r="416" spans="1:51" hidden="1" x14ac:dyDescent="0.2">
      <c r="A416" t="s">
        <v>25</v>
      </c>
      <c r="C416">
        <v>414</v>
      </c>
      <c r="D416">
        <v>18</v>
      </c>
      <c r="E416" t="s">
        <v>496</v>
      </c>
      <c r="F416">
        <v>2014</v>
      </c>
      <c r="H416">
        <v>526434</v>
      </c>
      <c r="I416">
        <v>173721</v>
      </c>
      <c r="J416">
        <v>63633</v>
      </c>
      <c r="K416">
        <v>10383</v>
      </c>
      <c r="L416">
        <v>7914</v>
      </c>
      <c r="M416">
        <v>6688</v>
      </c>
      <c r="N416">
        <v>5409</v>
      </c>
      <c r="O416">
        <v>5205</v>
      </c>
      <c r="P416">
        <v>4418</v>
      </c>
      <c r="Q416">
        <v>3538</v>
      </c>
      <c r="R416">
        <v>3507</v>
      </c>
      <c r="S416">
        <v>3330</v>
      </c>
      <c r="T416">
        <v>2645</v>
      </c>
      <c r="U416">
        <v>2108</v>
      </c>
      <c r="V416">
        <v>1661</v>
      </c>
      <c r="W416">
        <v>1586</v>
      </c>
      <c r="X416">
        <v>1493</v>
      </c>
      <c r="Y416">
        <v>1463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825136</v>
      </c>
    </row>
    <row r="417" spans="1:51" hidden="1" x14ac:dyDescent="0.2">
      <c r="A417" t="s">
        <v>25</v>
      </c>
      <c r="C417">
        <v>415</v>
      </c>
      <c r="D417">
        <v>35</v>
      </c>
      <c r="E417" t="s">
        <v>497</v>
      </c>
      <c r="F417">
        <v>2014</v>
      </c>
      <c r="H417">
        <v>408651</v>
      </c>
      <c r="I417">
        <v>300748</v>
      </c>
      <c r="J417">
        <v>57716</v>
      </c>
      <c r="K417">
        <v>25527</v>
      </c>
      <c r="L417">
        <v>6464</v>
      </c>
      <c r="M417">
        <v>6422</v>
      </c>
      <c r="N417">
        <v>5537</v>
      </c>
      <c r="O417">
        <v>5467</v>
      </c>
      <c r="P417">
        <v>4884</v>
      </c>
      <c r="Q417">
        <v>4457</v>
      </c>
      <c r="R417">
        <v>4109</v>
      </c>
      <c r="S417">
        <v>3305</v>
      </c>
      <c r="T417">
        <v>2845</v>
      </c>
      <c r="U417">
        <v>2726</v>
      </c>
      <c r="V417">
        <v>2546</v>
      </c>
      <c r="W417">
        <v>2454</v>
      </c>
      <c r="X417">
        <v>2384</v>
      </c>
      <c r="Y417">
        <v>2345</v>
      </c>
      <c r="Z417">
        <v>2289</v>
      </c>
      <c r="AA417">
        <v>2201</v>
      </c>
      <c r="AB417">
        <v>2189</v>
      </c>
      <c r="AC417">
        <v>1871</v>
      </c>
      <c r="AD417">
        <v>1784</v>
      </c>
      <c r="AE417">
        <v>1753</v>
      </c>
      <c r="AF417">
        <v>1617</v>
      </c>
      <c r="AG417">
        <v>1572</v>
      </c>
      <c r="AH417">
        <v>1387</v>
      </c>
      <c r="AI417">
        <v>1307</v>
      </c>
      <c r="AJ417">
        <v>1299</v>
      </c>
      <c r="AK417">
        <v>1255</v>
      </c>
      <c r="AL417">
        <v>1252</v>
      </c>
      <c r="AM417">
        <v>1140</v>
      </c>
      <c r="AN417">
        <v>1064</v>
      </c>
      <c r="AO417">
        <v>1043</v>
      </c>
      <c r="AP417">
        <v>1015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874625</v>
      </c>
    </row>
    <row r="418" spans="1:51" hidden="1" x14ac:dyDescent="0.2">
      <c r="A418" t="s">
        <v>25</v>
      </c>
      <c r="C418">
        <v>416</v>
      </c>
      <c r="D418">
        <v>16</v>
      </c>
      <c r="E418" t="s">
        <v>498</v>
      </c>
      <c r="F418">
        <v>2014</v>
      </c>
      <c r="H418">
        <v>410348</v>
      </c>
      <c r="I418">
        <v>231446</v>
      </c>
      <c r="J418">
        <v>228144</v>
      </c>
      <c r="K418">
        <v>41983</v>
      </c>
      <c r="L418">
        <v>14021</v>
      </c>
      <c r="M418">
        <v>5835</v>
      </c>
      <c r="N418">
        <v>5752</v>
      </c>
      <c r="O418">
        <v>5412</v>
      </c>
      <c r="P418">
        <v>4630</v>
      </c>
      <c r="Q418">
        <v>3804</v>
      </c>
      <c r="R418">
        <v>3381</v>
      </c>
      <c r="S418">
        <v>2737</v>
      </c>
      <c r="T418">
        <v>2363</v>
      </c>
      <c r="U418">
        <v>1887</v>
      </c>
      <c r="V418">
        <v>1637</v>
      </c>
      <c r="W418">
        <v>1601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964981</v>
      </c>
    </row>
    <row r="419" spans="1:51" hidden="1" x14ac:dyDescent="0.2">
      <c r="A419" t="s">
        <v>25</v>
      </c>
      <c r="C419">
        <v>417</v>
      </c>
      <c r="D419">
        <v>16</v>
      </c>
      <c r="E419" t="s">
        <v>499</v>
      </c>
      <c r="F419">
        <v>2014</v>
      </c>
      <c r="H419">
        <v>375789</v>
      </c>
      <c r="I419">
        <v>207567</v>
      </c>
      <c r="J419">
        <v>138620</v>
      </c>
      <c r="K419">
        <v>120107</v>
      </c>
      <c r="L419">
        <v>9983</v>
      </c>
      <c r="M419">
        <v>9098</v>
      </c>
      <c r="N419">
        <v>6309</v>
      </c>
      <c r="O419">
        <v>5618</v>
      </c>
      <c r="P419">
        <v>4207</v>
      </c>
      <c r="Q419">
        <v>3342</v>
      </c>
      <c r="R419">
        <v>3002</v>
      </c>
      <c r="S419">
        <v>2766</v>
      </c>
      <c r="T419">
        <v>2458</v>
      </c>
      <c r="U419">
        <v>2160</v>
      </c>
      <c r="V419">
        <v>1859</v>
      </c>
      <c r="W419">
        <v>1571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894456</v>
      </c>
    </row>
    <row r="420" spans="1:51" hidden="1" x14ac:dyDescent="0.2">
      <c r="A420" t="s">
        <v>25</v>
      </c>
      <c r="C420">
        <v>418</v>
      </c>
      <c r="D420">
        <v>23</v>
      </c>
      <c r="E420" t="s">
        <v>500</v>
      </c>
      <c r="F420">
        <v>2014</v>
      </c>
      <c r="H420">
        <v>406195</v>
      </c>
      <c r="I420">
        <v>255693</v>
      </c>
      <c r="J420">
        <v>114521</v>
      </c>
      <c r="K420">
        <v>95543</v>
      </c>
      <c r="L420">
        <v>58703</v>
      </c>
      <c r="M420">
        <v>4974</v>
      </c>
      <c r="N420">
        <v>4659</v>
      </c>
      <c r="O420">
        <v>2933</v>
      </c>
      <c r="P420">
        <v>2655</v>
      </c>
      <c r="Q420">
        <v>2420</v>
      </c>
      <c r="R420">
        <v>2254</v>
      </c>
      <c r="S420">
        <v>2140</v>
      </c>
      <c r="T420">
        <v>2107</v>
      </c>
      <c r="U420">
        <v>2066</v>
      </c>
      <c r="V420">
        <v>1986</v>
      </c>
      <c r="W420">
        <v>1864</v>
      </c>
      <c r="X420">
        <v>1857</v>
      </c>
      <c r="Y420">
        <v>1809</v>
      </c>
      <c r="Z420">
        <v>1605</v>
      </c>
      <c r="AA420">
        <v>1537</v>
      </c>
      <c r="AB420">
        <v>1202</v>
      </c>
      <c r="AC420">
        <v>1013</v>
      </c>
      <c r="AD420">
        <v>941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970677</v>
      </c>
    </row>
    <row r="421" spans="1:51" hidden="1" x14ac:dyDescent="0.2">
      <c r="A421" t="s">
        <v>25</v>
      </c>
      <c r="C421">
        <v>419</v>
      </c>
      <c r="D421">
        <v>11</v>
      </c>
      <c r="E421" t="s">
        <v>501</v>
      </c>
      <c r="F421">
        <v>2014</v>
      </c>
      <c r="H421">
        <v>439646</v>
      </c>
      <c r="I421">
        <v>266700</v>
      </c>
      <c r="J421">
        <v>192804</v>
      </c>
      <c r="K421">
        <v>13397</v>
      </c>
      <c r="L421">
        <v>6165</v>
      </c>
      <c r="M421">
        <v>5923</v>
      </c>
      <c r="N421">
        <v>4954</v>
      </c>
      <c r="O421">
        <v>3178</v>
      </c>
      <c r="P421">
        <v>2677</v>
      </c>
      <c r="Q421">
        <v>2372</v>
      </c>
      <c r="R421">
        <v>1788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939604</v>
      </c>
    </row>
    <row r="422" spans="1:51" hidden="1" x14ac:dyDescent="0.2">
      <c r="A422" t="s">
        <v>25</v>
      </c>
      <c r="C422">
        <v>420</v>
      </c>
      <c r="D422">
        <v>13</v>
      </c>
      <c r="E422" t="s">
        <v>502</v>
      </c>
      <c r="F422">
        <v>2014</v>
      </c>
      <c r="H422">
        <v>489164</v>
      </c>
      <c r="I422">
        <v>469257</v>
      </c>
      <c r="J422">
        <v>127785</v>
      </c>
      <c r="K422">
        <v>7380</v>
      </c>
      <c r="L422">
        <v>5723</v>
      </c>
      <c r="M422">
        <v>4826</v>
      </c>
      <c r="N422">
        <v>2891</v>
      </c>
      <c r="O422">
        <v>2567</v>
      </c>
      <c r="P422">
        <v>1282</v>
      </c>
      <c r="Q422">
        <v>964</v>
      </c>
      <c r="R422">
        <v>927</v>
      </c>
      <c r="S422">
        <v>888</v>
      </c>
      <c r="T422">
        <v>806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1114460</v>
      </c>
    </row>
    <row r="423" spans="1:51" hidden="1" x14ac:dyDescent="0.2">
      <c r="A423" t="s">
        <v>25</v>
      </c>
      <c r="C423">
        <v>421</v>
      </c>
      <c r="D423">
        <v>22</v>
      </c>
      <c r="E423" t="s">
        <v>503</v>
      </c>
      <c r="F423">
        <v>2014</v>
      </c>
      <c r="H423">
        <v>474712</v>
      </c>
      <c r="I423">
        <v>251766</v>
      </c>
      <c r="J423">
        <v>53218</v>
      </c>
      <c r="K423">
        <v>25723</v>
      </c>
      <c r="L423">
        <v>11925</v>
      </c>
      <c r="M423">
        <v>3005</v>
      </c>
      <c r="N423">
        <v>2350</v>
      </c>
      <c r="O423">
        <v>2278</v>
      </c>
      <c r="P423">
        <v>1701</v>
      </c>
      <c r="Q423">
        <v>1398</v>
      </c>
      <c r="R423">
        <v>1069</v>
      </c>
      <c r="S423">
        <v>929</v>
      </c>
      <c r="T423">
        <v>723</v>
      </c>
      <c r="U423">
        <v>683</v>
      </c>
      <c r="V423">
        <v>665</v>
      </c>
      <c r="W423">
        <v>580</v>
      </c>
      <c r="X423">
        <v>475</v>
      </c>
      <c r="Y423">
        <v>433</v>
      </c>
      <c r="Z423">
        <v>425</v>
      </c>
      <c r="AA423">
        <v>364</v>
      </c>
      <c r="AB423">
        <v>361</v>
      </c>
      <c r="AC423">
        <v>296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835079</v>
      </c>
    </row>
    <row r="424" spans="1:51" hidden="1" x14ac:dyDescent="0.2">
      <c r="A424" t="s">
        <v>25</v>
      </c>
      <c r="C424">
        <v>422</v>
      </c>
      <c r="D424">
        <v>19</v>
      </c>
      <c r="E424" t="s">
        <v>504</v>
      </c>
      <c r="F424">
        <v>2014</v>
      </c>
      <c r="H424">
        <v>481584</v>
      </c>
      <c r="I424">
        <v>202587</v>
      </c>
      <c r="J424">
        <v>147002</v>
      </c>
      <c r="K424">
        <v>96827</v>
      </c>
      <c r="L424">
        <v>7914</v>
      </c>
      <c r="M424">
        <v>5432</v>
      </c>
      <c r="N424">
        <v>5331</v>
      </c>
      <c r="O424">
        <v>4285</v>
      </c>
      <c r="P424">
        <v>3948</v>
      </c>
      <c r="Q424">
        <v>3403</v>
      </c>
      <c r="R424">
        <v>2754</v>
      </c>
      <c r="S424">
        <v>2259</v>
      </c>
      <c r="T424">
        <v>1890</v>
      </c>
      <c r="U424">
        <v>1853</v>
      </c>
      <c r="V424">
        <v>1350</v>
      </c>
      <c r="W424">
        <v>1037</v>
      </c>
      <c r="X424">
        <v>799</v>
      </c>
      <c r="Y424">
        <v>597</v>
      </c>
      <c r="Z424">
        <v>523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971375</v>
      </c>
    </row>
    <row r="425" spans="1:51" hidden="1" x14ac:dyDescent="0.2">
      <c r="A425" t="s">
        <v>25</v>
      </c>
      <c r="C425">
        <v>423</v>
      </c>
      <c r="D425">
        <v>12</v>
      </c>
      <c r="E425" t="s">
        <v>505</v>
      </c>
      <c r="F425">
        <v>2014</v>
      </c>
      <c r="H425">
        <v>548631</v>
      </c>
      <c r="I425">
        <v>261429</v>
      </c>
      <c r="J425">
        <v>180921</v>
      </c>
      <c r="K425">
        <v>82903</v>
      </c>
      <c r="L425">
        <v>10291</v>
      </c>
      <c r="M425">
        <v>4944</v>
      </c>
      <c r="N425">
        <v>4761</v>
      </c>
      <c r="O425">
        <v>4561</v>
      </c>
      <c r="P425">
        <v>3337</v>
      </c>
      <c r="Q425">
        <v>2816</v>
      </c>
      <c r="R425">
        <v>2525</v>
      </c>
      <c r="S425">
        <v>2047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1109166</v>
      </c>
    </row>
    <row r="426" spans="1:51" hidden="1" x14ac:dyDescent="0.2">
      <c r="A426" t="s">
        <v>25</v>
      </c>
      <c r="C426">
        <v>424</v>
      </c>
      <c r="D426">
        <v>16</v>
      </c>
      <c r="E426" t="s">
        <v>506</v>
      </c>
      <c r="F426">
        <v>2014</v>
      </c>
      <c r="H426">
        <v>575889</v>
      </c>
      <c r="I426">
        <v>385422</v>
      </c>
      <c r="J426">
        <v>213792</v>
      </c>
      <c r="K426">
        <v>84089</v>
      </c>
      <c r="L426">
        <v>13959</v>
      </c>
      <c r="M426">
        <v>11443</v>
      </c>
      <c r="N426">
        <v>8600</v>
      </c>
      <c r="O426">
        <v>5536</v>
      </c>
      <c r="P426">
        <v>4522</v>
      </c>
      <c r="Q426">
        <v>4215</v>
      </c>
      <c r="R426">
        <v>2727</v>
      </c>
      <c r="S426">
        <v>2605</v>
      </c>
      <c r="T426">
        <v>2121</v>
      </c>
      <c r="U426">
        <v>2036</v>
      </c>
      <c r="V426">
        <v>2029</v>
      </c>
      <c r="W426">
        <v>1819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1320804</v>
      </c>
    </row>
    <row r="427" spans="1:51" hidden="1" x14ac:dyDescent="0.2">
      <c r="A427" t="s">
        <v>25</v>
      </c>
      <c r="C427">
        <v>425</v>
      </c>
      <c r="D427">
        <v>16</v>
      </c>
      <c r="E427" t="s">
        <v>225</v>
      </c>
      <c r="F427">
        <v>2014</v>
      </c>
      <c r="H427">
        <v>453884</v>
      </c>
      <c r="I427">
        <v>187096</v>
      </c>
      <c r="J427">
        <v>176356</v>
      </c>
      <c r="K427">
        <v>78229</v>
      </c>
      <c r="L427">
        <v>23137</v>
      </c>
      <c r="M427">
        <v>10449</v>
      </c>
      <c r="N427">
        <v>9663</v>
      </c>
      <c r="O427">
        <v>6297</v>
      </c>
      <c r="P427">
        <v>5749</v>
      </c>
      <c r="Q427">
        <v>4860</v>
      </c>
      <c r="R427">
        <v>4314</v>
      </c>
      <c r="S427">
        <v>4079</v>
      </c>
      <c r="T427">
        <v>3435</v>
      </c>
      <c r="U427">
        <v>2981</v>
      </c>
      <c r="V427">
        <v>2955</v>
      </c>
      <c r="W427">
        <v>1756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975240</v>
      </c>
    </row>
    <row r="428" spans="1:51" hidden="1" x14ac:dyDescent="0.2">
      <c r="A428" t="s">
        <v>25</v>
      </c>
      <c r="C428">
        <v>426</v>
      </c>
      <c r="D428">
        <v>14</v>
      </c>
      <c r="E428" t="s">
        <v>507</v>
      </c>
      <c r="F428">
        <v>2014</v>
      </c>
      <c r="H428">
        <v>342066</v>
      </c>
      <c r="I428">
        <v>226278</v>
      </c>
      <c r="J428">
        <v>189730</v>
      </c>
      <c r="K428">
        <v>36650</v>
      </c>
      <c r="L428">
        <v>15156</v>
      </c>
      <c r="M428">
        <v>13824</v>
      </c>
      <c r="N428">
        <v>7140</v>
      </c>
      <c r="O428">
        <v>6439</v>
      </c>
      <c r="P428">
        <v>5115</v>
      </c>
      <c r="Q428">
        <v>4755</v>
      </c>
      <c r="R428">
        <v>3201</v>
      </c>
      <c r="S428">
        <v>2931</v>
      </c>
      <c r="T428">
        <v>2605</v>
      </c>
      <c r="U428">
        <v>2436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858326</v>
      </c>
    </row>
    <row r="429" spans="1:51" hidden="1" x14ac:dyDescent="0.2">
      <c r="A429" t="s">
        <v>25</v>
      </c>
      <c r="C429">
        <v>427</v>
      </c>
      <c r="D429">
        <v>15</v>
      </c>
      <c r="E429" t="s">
        <v>508</v>
      </c>
      <c r="F429">
        <v>2014</v>
      </c>
      <c r="H429">
        <v>485994</v>
      </c>
      <c r="I429">
        <v>298788</v>
      </c>
      <c r="J429">
        <v>179724</v>
      </c>
      <c r="K429">
        <v>46588</v>
      </c>
      <c r="L429">
        <v>11607</v>
      </c>
      <c r="M429">
        <v>7578</v>
      </c>
      <c r="N429">
        <v>5838</v>
      </c>
      <c r="O429">
        <v>5448</v>
      </c>
      <c r="P429">
        <v>3029</v>
      </c>
      <c r="Q429">
        <v>2498</v>
      </c>
      <c r="R429">
        <v>2454</v>
      </c>
      <c r="S429">
        <v>2173</v>
      </c>
      <c r="T429">
        <v>1967</v>
      </c>
      <c r="U429">
        <v>1657</v>
      </c>
      <c r="V429">
        <v>1345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1056688</v>
      </c>
    </row>
    <row r="430" spans="1:51" hidden="1" x14ac:dyDescent="0.2">
      <c r="A430" t="s">
        <v>25</v>
      </c>
      <c r="C430">
        <v>428</v>
      </c>
      <c r="D430">
        <v>12</v>
      </c>
      <c r="E430" t="s">
        <v>509</v>
      </c>
      <c r="F430">
        <v>2014</v>
      </c>
      <c r="H430">
        <v>331724</v>
      </c>
      <c r="I430">
        <v>288824</v>
      </c>
      <c r="J430">
        <v>201322</v>
      </c>
      <c r="K430">
        <v>31905</v>
      </c>
      <c r="L430">
        <v>15169</v>
      </c>
      <c r="M430">
        <v>9182</v>
      </c>
      <c r="N430">
        <v>7350</v>
      </c>
      <c r="O430">
        <v>6556</v>
      </c>
      <c r="P430">
        <v>6389</v>
      </c>
      <c r="Q430">
        <v>4958</v>
      </c>
      <c r="R430">
        <v>3693</v>
      </c>
      <c r="S430">
        <v>3342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910414</v>
      </c>
    </row>
    <row r="431" spans="1:51" hidden="1" x14ac:dyDescent="0.2">
      <c r="A431" t="s">
        <v>25</v>
      </c>
      <c r="C431">
        <v>429</v>
      </c>
      <c r="D431">
        <v>16</v>
      </c>
      <c r="E431" t="s">
        <v>510</v>
      </c>
      <c r="F431">
        <v>2014</v>
      </c>
      <c r="H431">
        <v>503564</v>
      </c>
      <c r="I431">
        <v>195256</v>
      </c>
      <c r="J431">
        <v>163710</v>
      </c>
      <c r="K431">
        <v>58127</v>
      </c>
      <c r="L431">
        <v>8424</v>
      </c>
      <c r="M431">
        <v>7384</v>
      </c>
      <c r="N431">
        <v>5652</v>
      </c>
      <c r="O431">
        <v>3392</v>
      </c>
      <c r="P431">
        <v>3114</v>
      </c>
      <c r="Q431">
        <v>2706</v>
      </c>
      <c r="R431">
        <v>2187</v>
      </c>
      <c r="S431">
        <v>1585</v>
      </c>
      <c r="T431">
        <v>1521</v>
      </c>
      <c r="U431">
        <v>1306</v>
      </c>
      <c r="V431">
        <v>1302</v>
      </c>
      <c r="W431">
        <v>1111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960341</v>
      </c>
    </row>
    <row r="432" spans="1:51" hidden="1" x14ac:dyDescent="0.2">
      <c r="A432" t="s">
        <v>25</v>
      </c>
      <c r="C432">
        <v>430</v>
      </c>
      <c r="D432">
        <v>24</v>
      </c>
      <c r="E432" t="s">
        <v>511</v>
      </c>
      <c r="F432">
        <v>2014</v>
      </c>
      <c r="H432">
        <v>313772</v>
      </c>
      <c r="I432">
        <v>251763</v>
      </c>
      <c r="J432">
        <v>162073</v>
      </c>
      <c r="K432">
        <v>102453</v>
      </c>
      <c r="L432">
        <v>8321</v>
      </c>
      <c r="M432">
        <v>6439</v>
      </c>
      <c r="N432">
        <v>4426</v>
      </c>
      <c r="O432">
        <v>4324</v>
      </c>
      <c r="P432">
        <v>4190</v>
      </c>
      <c r="Q432">
        <v>3744</v>
      </c>
      <c r="R432">
        <v>3624</v>
      </c>
      <c r="S432">
        <v>3388</v>
      </c>
      <c r="T432">
        <v>3315</v>
      </c>
      <c r="U432">
        <v>2593</v>
      </c>
      <c r="V432">
        <v>2332</v>
      </c>
      <c r="W432">
        <v>2181</v>
      </c>
      <c r="X432">
        <v>2115</v>
      </c>
      <c r="Y432">
        <v>1928</v>
      </c>
      <c r="Z432">
        <v>1730</v>
      </c>
      <c r="AA432">
        <v>1711</v>
      </c>
      <c r="AB432">
        <v>1438</v>
      </c>
      <c r="AC432">
        <v>1293</v>
      </c>
      <c r="AD432">
        <v>1221</v>
      </c>
      <c r="AE432">
        <v>1212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891586</v>
      </c>
    </row>
    <row r="433" spans="1:51" hidden="1" x14ac:dyDescent="0.2">
      <c r="A433" t="s">
        <v>25</v>
      </c>
      <c r="C433">
        <v>431</v>
      </c>
      <c r="D433">
        <v>15</v>
      </c>
      <c r="E433" t="s">
        <v>26</v>
      </c>
      <c r="F433">
        <v>2014</v>
      </c>
      <c r="H433">
        <v>454214</v>
      </c>
      <c r="I433">
        <v>242336</v>
      </c>
      <c r="J433">
        <v>167150</v>
      </c>
      <c r="K433">
        <v>159284</v>
      </c>
      <c r="L433">
        <v>8726</v>
      </c>
      <c r="M433">
        <v>7980</v>
      </c>
      <c r="N433">
        <v>7136</v>
      </c>
      <c r="O433">
        <v>3836</v>
      </c>
      <c r="P433">
        <v>3261</v>
      </c>
      <c r="Q433">
        <v>3126</v>
      </c>
      <c r="R433">
        <v>3038</v>
      </c>
      <c r="S433">
        <v>2560</v>
      </c>
      <c r="T433">
        <v>2171</v>
      </c>
      <c r="U433">
        <v>2035</v>
      </c>
      <c r="V433">
        <v>1315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1068168</v>
      </c>
    </row>
    <row r="434" spans="1:51" hidden="1" x14ac:dyDescent="0.2">
      <c r="A434" t="s">
        <v>25</v>
      </c>
      <c r="C434">
        <v>432</v>
      </c>
      <c r="D434">
        <v>12</v>
      </c>
      <c r="E434" t="s">
        <v>512</v>
      </c>
      <c r="F434">
        <v>2014</v>
      </c>
      <c r="H434">
        <v>491761</v>
      </c>
      <c r="I434">
        <v>208986</v>
      </c>
      <c r="J434">
        <v>141827</v>
      </c>
      <c r="K434">
        <v>129917</v>
      </c>
      <c r="L434">
        <v>11537</v>
      </c>
      <c r="M434">
        <v>9055</v>
      </c>
      <c r="N434">
        <v>6308</v>
      </c>
      <c r="O434">
        <v>5963</v>
      </c>
      <c r="P434">
        <v>5702</v>
      </c>
      <c r="Q434">
        <v>4795</v>
      </c>
      <c r="R434">
        <v>4187</v>
      </c>
      <c r="S434">
        <v>2678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1022716</v>
      </c>
    </row>
    <row r="435" spans="1:51" hidden="1" x14ac:dyDescent="0.2">
      <c r="A435" t="s">
        <v>25</v>
      </c>
      <c r="C435">
        <v>433</v>
      </c>
      <c r="D435">
        <v>15</v>
      </c>
      <c r="E435" t="s">
        <v>513</v>
      </c>
      <c r="F435">
        <v>2014</v>
      </c>
      <c r="H435">
        <v>432104</v>
      </c>
      <c r="I435">
        <v>292675</v>
      </c>
      <c r="J435">
        <v>234467</v>
      </c>
      <c r="K435">
        <v>22775</v>
      </c>
      <c r="L435">
        <v>7694</v>
      </c>
      <c r="M435">
        <v>7422</v>
      </c>
      <c r="N435">
        <v>7040</v>
      </c>
      <c r="O435">
        <v>6896</v>
      </c>
      <c r="P435">
        <v>5792</v>
      </c>
      <c r="Q435">
        <v>4707</v>
      </c>
      <c r="R435">
        <v>4138</v>
      </c>
      <c r="S435">
        <v>3025</v>
      </c>
      <c r="T435">
        <v>2590</v>
      </c>
      <c r="U435">
        <v>1942</v>
      </c>
      <c r="V435">
        <v>1137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1034404</v>
      </c>
    </row>
    <row r="436" spans="1:51" hidden="1" x14ac:dyDescent="0.2">
      <c r="A436" t="s">
        <v>25</v>
      </c>
      <c r="C436">
        <v>434</v>
      </c>
      <c r="D436">
        <v>11</v>
      </c>
      <c r="E436" t="s">
        <v>514</v>
      </c>
      <c r="F436">
        <v>2014</v>
      </c>
      <c r="H436">
        <v>432392</v>
      </c>
      <c r="I436">
        <v>336747</v>
      </c>
      <c r="J436">
        <v>96904</v>
      </c>
      <c r="K436">
        <v>24421</v>
      </c>
      <c r="L436">
        <v>13498</v>
      </c>
      <c r="M436">
        <v>8319</v>
      </c>
      <c r="N436">
        <v>5826</v>
      </c>
      <c r="O436">
        <v>5735</v>
      </c>
      <c r="P436">
        <v>4026</v>
      </c>
      <c r="Q436">
        <v>3719</v>
      </c>
      <c r="R436">
        <v>2676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934263</v>
      </c>
    </row>
    <row r="437" spans="1:51" hidden="1" x14ac:dyDescent="0.2">
      <c r="A437" t="s">
        <v>25</v>
      </c>
      <c r="C437">
        <v>435</v>
      </c>
      <c r="D437">
        <v>15</v>
      </c>
      <c r="E437" t="s">
        <v>515</v>
      </c>
      <c r="F437">
        <v>2014</v>
      </c>
      <c r="H437">
        <v>381500</v>
      </c>
      <c r="I437">
        <v>303282</v>
      </c>
      <c r="J437">
        <v>146726</v>
      </c>
      <c r="K437">
        <v>57401</v>
      </c>
      <c r="L437">
        <v>11853</v>
      </c>
      <c r="M437">
        <v>11366</v>
      </c>
      <c r="N437">
        <v>5849</v>
      </c>
      <c r="O437">
        <v>5245</v>
      </c>
      <c r="P437">
        <v>3905</v>
      </c>
      <c r="Q437">
        <v>3867</v>
      </c>
      <c r="R437">
        <v>3710</v>
      </c>
      <c r="S437">
        <v>3246</v>
      </c>
      <c r="T437">
        <v>2119</v>
      </c>
      <c r="U437">
        <v>1822</v>
      </c>
      <c r="V437">
        <v>1466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943357</v>
      </c>
    </row>
    <row r="438" spans="1:51" hidden="1" x14ac:dyDescent="0.2">
      <c r="A438" t="s">
        <v>25</v>
      </c>
      <c r="C438">
        <v>436</v>
      </c>
      <c r="D438">
        <v>15</v>
      </c>
      <c r="E438" t="s">
        <v>516</v>
      </c>
      <c r="F438">
        <v>2014</v>
      </c>
      <c r="H438">
        <v>345964</v>
      </c>
      <c r="I438">
        <v>260051</v>
      </c>
      <c r="J438">
        <v>194890</v>
      </c>
      <c r="K438">
        <v>101817</v>
      </c>
      <c r="L438">
        <v>20006</v>
      </c>
      <c r="M438">
        <v>14587</v>
      </c>
      <c r="N438">
        <v>10083</v>
      </c>
      <c r="O438">
        <v>6278</v>
      </c>
      <c r="P438">
        <v>5542</v>
      </c>
      <c r="Q438">
        <v>4489</v>
      </c>
      <c r="R438">
        <v>3730</v>
      </c>
      <c r="S438">
        <v>3474</v>
      </c>
      <c r="T438">
        <v>3188</v>
      </c>
      <c r="U438">
        <v>2961</v>
      </c>
      <c r="V438">
        <v>2578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979638</v>
      </c>
    </row>
    <row r="439" spans="1:51" hidden="1" x14ac:dyDescent="0.2">
      <c r="A439" t="s">
        <v>25</v>
      </c>
      <c r="C439">
        <v>437</v>
      </c>
      <c r="D439">
        <v>16</v>
      </c>
      <c r="E439" t="s">
        <v>517</v>
      </c>
      <c r="F439">
        <v>2014</v>
      </c>
      <c r="H439">
        <v>359639</v>
      </c>
      <c r="I439">
        <v>199227</v>
      </c>
      <c r="J439">
        <v>116178</v>
      </c>
      <c r="K439">
        <v>102254</v>
      </c>
      <c r="L439">
        <v>42744</v>
      </c>
      <c r="M439">
        <v>18450</v>
      </c>
      <c r="N439">
        <v>7988</v>
      </c>
      <c r="O439">
        <v>5374</v>
      </c>
      <c r="P439">
        <v>4748</v>
      </c>
      <c r="Q439">
        <v>3358</v>
      </c>
      <c r="R439">
        <v>3200</v>
      </c>
      <c r="S439">
        <v>2555</v>
      </c>
      <c r="T439">
        <v>2395</v>
      </c>
      <c r="U439">
        <v>2199</v>
      </c>
      <c r="V439">
        <v>1900</v>
      </c>
      <c r="W439">
        <v>1519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873728</v>
      </c>
    </row>
    <row r="440" spans="1:51" hidden="1" x14ac:dyDescent="0.2">
      <c r="A440" t="s">
        <v>25</v>
      </c>
      <c r="C440">
        <v>438</v>
      </c>
      <c r="D440">
        <v>18</v>
      </c>
      <c r="E440" t="s">
        <v>518</v>
      </c>
      <c r="F440">
        <v>2014</v>
      </c>
      <c r="H440">
        <v>298845</v>
      </c>
      <c r="I440">
        <v>195257</v>
      </c>
      <c r="J440">
        <v>174778</v>
      </c>
      <c r="K440">
        <v>99242</v>
      </c>
      <c r="L440">
        <v>88117</v>
      </c>
      <c r="M440">
        <v>10952</v>
      </c>
      <c r="N440">
        <v>9529</v>
      </c>
      <c r="O440">
        <v>9371</v>
      </c>
      <c r="P440">
        <v>7762</v>
      </c>
      <c r="Q440">
        <v>7159</v>
      </c>
      <c r="R440">
        <v>6776</v>
      </c>
      <c r="S440">
        <v>5521</v>
      </c>
      <c r="T440">
        <v>5123</v>
      </c>
      <c r="U440">
        <v>4939</v>
      </c>
      <c r="V440">
        <v>3238</v>
      </c>
      <c r="W440">
        <v>3174</v>
      </c>
      <c r="X440">
        <v>2709</v>
      </c>
      <c r="Y440">
        <v>2535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935027</v>
      </c>
    </row>
    <row r="441" spans="1:51" hidden="1" x14ac:dyDescent="0.2">
      <c r="A441" t="s">
        <v>25</v>
      </c>
      <c r="C441">
        <v>439</v>
      </c>
      <c r="D441">
        <v>14</v>
      </c>
      <c r="E441" t="s">
        <v>519</v>
      </c>
      <c r="F441">
        <v>2014</v>
      </c>
      <c r="H441">
        <v>357680</v>
      </c>
      <c r="I441">
        <v>324118</v>
      </c>
      <c r="J441">
        <v>283747</v>
      </c>
      <c r="K441">
        <v>27673</v>
      </c>
      <c r="L441">
        <v>10168</v>
      </c>
      <c r="M441">
        <v>8407</v>
      </c>
      <c r="N441">
        <v>8172</v>
      </c>
      <c r="O441">
        <v>7063</v>
      </c>
      <c r="P441">
        <v>4823</v>
      </c>
      <c r="Q441">
        <v>4521</v>
      </c>
      <c r="R441">
        <v>3587</v>
      </c>
      <c r="S441">
        <v>3532</v>
      </c>
      <c r="T441">
        <v>2803</v>
      </c>
      <c r="U441">
        <v>2240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1048534</v>
      </c>
    </row>
    <row r="442" spans="1:51" hidden="1" x14ac:dyDescent="0.2">
      <c r="A442" t="s">
        <v>25</v>
      </c>
      <c r="C442">
        <v>440</v>
      </c>
      <c r="D442">
        <v>26</v>
      </c>
      <c r="E442" t="s">
        <v>520</v>
      </c>
      <c r="F442">
        <v>2014</v>
      </c>
      <c r="H442">
        <v>348892</v>
      </c>
      <c r="I442">
        <v>250914</v>
      </c>
      <c r="J442">
        <v>240169</v>
      </c>
      <c r="K442">
        <v>69193</v>
      </c>
      <c r="L442">
        <v>22029</v>
      </c>
      <c r="M442">
        <v>11046</v>
      </c>
      <c r="N442">
        <v>8993</v>
      </c>
      <c r="O442">
        <v>7458</v>
      </c>
      <c r="P442">
        <v>5866</v>
      </c>
      <c r="Q442">
        <v>5036</v>
      </c>
      <c r="R442">
        <v>4747</v>
      </c>
      <c r="S442">
        <v>4082</v>
      </c>
      <c r="T442">
        <v>3900</v>
      </c>
      <c r="U442">
        <v>3618</v>
      </c>
      <c r="V442">
        <v>3181</v>
      </c>
      <c r="W442">
        <v>3061</v>
      </c>
      <c r="X442">
        <v>2796</v>
      </c>
      <c r="Y442">
        <v>2439</v>
      </c>
      <c r="Z442">
        <v>2278</v>
      </c>
      <c r="AA442">
        <v>2164</v>
      </c>
      <c r="AB442">
        <v>2155</v>
      </c>
      <c r="AC442">
        <v>1884</v>
      </c>
      <c r="AD442">
        <v>1721</v>
      </c>
      <c r="AE442">
        <v>1477</v>
      </c>
      <c r="AF442">
        <v>1335</v>
      </c>
      <c r="AG442">
        <v>1215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1011649</v>
      </c>
    </row>
    <row r="443" spans="1:51" hidden="1" x14ac:dyDescent="0.2">
      <c r="A443" t="s">
        <v>25</v>
      </c>
      <c r="C443">
        <v>441</v>
      </c>
      <c r="D443">
        <v>24</v>
      </c>
      <c r="E443" t="s">
        <v>164</v>
      </c>
      <c r="F443">
        <v>2014</v>
      </c>
      <c r="H443">
        <v>471542</v>
      </c>
      <c r="I443">
        <v>231084</v>
      </c>
      <c r="J443">
        <v>213974</v>
      </c>
      <c r="K443">
        <v>57193</v>
      </c>
      <c r="L443">
        <v>15517</v>
      </c>
      <c r="M443">
        <v>6131</v>
      </c>
      <c r="N443">
        <v>5422</v>
      </c>
      <c r="O443">
        <v>5195</v>
      </c>
      <c r="P443">
        <v>5001</v>
      </c>
      <c r="Q443">
        <v>4545</v>
      </c>
      <c r="R443">
        <v>4216</v>
      </c>
      <c r="S443">
        <v>4210</v>
      </c>
      <c r="T443">
        <v>4079</v>
      </c>
      <c r="U443">
        <v>3752</v>
      </c>
      <c r="V443">
        <v>3582</v>
      </c>
      <c r="W443">
        <v>3455</v>
      </c>
      <c r="X443">
        <v>3196</v>
      </c>
      <c r="Y443">
        <v>2545</v>
      </c>
      <c r="Z443">
        <v>2339</v>
      </c>
      <c r="AA443">
        <v>2149</v>
      </c>
      <c r="AB443">
        <v>1961</v>
      </c>
      <c r="AC443">
        <v>1828</v>
      </c>
      <c r="AD443">
        <v>1671</v>
      </c>
      <c r="AE443">
        <v>1491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1056078</v>
      </c>
    </row>
    <row r="444" spans="1:51" hidden="1" x14ac:dyDescent="0.2">
      <c r="A444" t="s">
        <v>25</v>
      </c>
      <c r="C444">
        <v>442</v>
      </c>
      <c r="D444">
        <v>16</v>
      </c>
      <c r="E444" t="s">
        <v>521</v>
      </c>
      <c r="F444">
        <v>2014</v>
      </c>
      <c r="H444">
        <v>539127</v>
      </c>
      <c r="I444">
        <v>226344</v>
      </c>
      <c r="J444">
        <v>176412</v>
      </c>
      <c r="K444">
        <v>45719</v>
      </c>
      <c r="L444">
        <v>11873</v>
      </c>
      <c r="M444">
        <v>8153</v>
      </c>
      <c r="N444">
        <v>5339</v>
      </c>
      <c r="O444">
        <v>5046</v>
      </c>
      <c r="P444">
        <v>4387</v>
      </c>
      <c r="Q444">
        <v>4194</v>
      </c>
      <c r="R444">
        <v>4024</v>
      </c>
      <c r="S444">
        <v>2398</v>
      </c>
      <c r="T444">
        <v>2123</v>
      </c>
      <c r="U444">
        <v>2016</v>
      </c>
      <c r="V444">
        <v>1873</v>
      </c>
      <c r="W444">
        <v>1171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1040199</v>
      </c>
    </row>
    <row r="445" spans="1:51" hidden="1" x14ac:dyDescent="0.2">
      <c r="A445" t="s">
        <v>25</v>
      </c>
      <c r="C445">
        <v>443</v>
      </c>
      <c r="D445">
        <v>15</v>
      </c>
      <c r="E445" t="s">
        <v>522</v>
      </c>
      <c r="F445">
        <v>2014</v>
      </c>
      <c r="H445">
        <v>370051</v>
      </c>
      <c r="I445">
        <v>284511</v>
      </c>
      <c r="J445">
        <v>132881</v>
      </c>
      <c r="K445">
        <v>111256</v>
      </c>
      <c r="L445">
        <v>10102</v>
      </c>
      <c r="M445">
        <v>9024</v>
      </c>
      <c r="N445">
        <v>5485</v>
      </c>
      <c r="O445">
        <v>4806</v>
      </c>
      <c r="P445">
        <v>4270</v>
      </c>
      <c r="Q445">
        <v>3843</v>
      </c>
      <c r="R445">
        <v>3802</v>
      </c>
      <c r="S445">
        <v>3630</v>
      </c>
      <c r="T445">
        <v>2677</v>
      </c>
      <c r="U445">
        <v>2145</v>
      </c>
      <c r="V445">
        <v>1963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950446</v>
      </c>
    </row>
    <row r="446" spans="1:51" hidden="1" x14ac:dyDescent="0.2">
      <c r="A446" t="s">
        <v>25</v>
      </c>
      <c r="C446">
        <v>444</v>
      </c>
      <c r="D446">
        <v>16</v>
      </c>
      <c r="E446" t="s">
        <v>523</v>
      </c>
      <c r="F446">
        <v>2014</v>
      </c>
      <c r="H446">
        <v>496500</v>
      </c>
      <c r="I446">
        <v>231114</v>
      </c>
      <c r="J446">
        <v>150852</v>
      </c>
      <c r="K446">
        <v>37752</v>
      </c>
      <c r="L446">
        <v>12405</v>
      </c>
      <c r="M446">
        <v>6408</v>
      </c>
      <c r="N446">
        <v>5763</v>
      </c>
      <c r="O446">
        <v>5406</v>
      </c>
      <c r="P446">
        <v>5130</v>
      </c>
      <c r="Q446">
        <v>4952</v>
      </c>
      <c r="R446">
        <v>4343</v>
      </c>
      <c r="S446">
        <v>4124</v>
      </c>
      <c r="T446">
        <v>1916</v>
      </c>
      <c r="U446">
        <v>1906</v>
      </c>
      <c r="V446">
        <v>1833</v>
      </c>
      <c r="W446">
        <v>1153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971557</v>
      </c>
    </row>
    <row r="447" spans="1:51" hidden="1" x14ac:dyDescent="0.2">
      <c r="A447" t="s">
        <v>25</v>
      </c>
      <c r="C447">
        <v>445</v>
      </c>
      <c r="D447">
        <v>13</v>
      </c>
      <c r="E447" t="s">
        <v>524</v>
      </c>
      <c r="F447">
        <v>2014</v>
      </c>
      <c r="H447">
        <v>417959</v>
      </c>
      <c r="I447">
        <v>228443</v>
      </c>
      <c r="J447">
        <v>133675</v>
      </c>
      <c r="K447">
        <v>50675</v>
      </c>
      <c r="L447">
        <v>13495</v>
      </c>
      <c r="M447">
        <v>9769</v>
      </c>
      <c r="N447">
        <v>5236</v>
      </c>
      <c r="O447">
        <v>4346</v>
      </c>
      <c r="P447">
        <v>4013</v>
      </c>
      <c r="Q447">
        <v>3080</v>
      </c>
      <c r="R447">
        <v>2963</v>
      </c>
      <c r="S447">
        <v>2896</v>
      </c>
      <c r="T447">
        <v>1327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877877</v>
      </c>
    </row>
    <row r="448" spans="1:51" hidden="1" x14ac:dyDescent="0.2">
      <c r="A448" t="s">
        <v>25</v>
      </c>
      <c r="C448">
        <v>446</v>
      </c>
      <c r="D448">
        <v>15</v>
      </c>
      <c r="E448" t="s">
        <v>525</v>
      </c>
      <c r="F448">
        <v>2014</v>
      </c>
      <c r="H448">
        <v>324016</v>
      </c>
      <c r="I448">
        <v>260930</v>
      </c>
      <c r="J448">
        <v>233971</v>
      </c>
      <c r="K448">
        <v>21832</v>
      </c>
      <c r="L448">
        <v>14368</v>
      </c>
      <c r="M448">
        <v>10523</v>
      </c>
      <c r="N448">
        <v>7713</v>
      </c>
      <c r="O448">
        <v>5668</v>
      </c>
      <c r="P448">
        <v>4620</v>
      </c>
      <c r="Q448">
        <v>4536</v>
      </c>
      <c r="R448">
        <v>3307</v>
      </c>
      <c r="S448">
        <v>2129</v>
      </c>
      <c r="T448">
        <v>1911</v>
      </c>
      <c r="U448">
        <v>1733</v>
      </c>
      <c r="V448">
        <v>1398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898655</v>
      </c>
    </row>
    <row r="449" spans="1:51" hidden="1" x14ac:dyDescent="0.2">
      <c r="A449" t="s">
        <v>25</v>
      </c>
      <c r="C449">
        <v>447</v>
      </c>
      <c r="D449">
        <v>19</v>
      </c>
      <c r="E449" t="s">
        <v>526</v>
      </c>
      <c r="F449">
        <v>2014</v>
      </c>
      <c r="H449">
        <v>340306</v>
      </c>
      <c r="I449">
        <v>277102</v>
      </c>
      <c r="J449">
        <v>266528</v>
      </c>
      <c r="K449">
        <v>17950</v>
      </c>
      <c r="L449">
        <v>13271</v>
      </c>
      <c r="M449">
        <v>5660</v>
      </c>
      <c r="N449">
        <v>5207</v>
      </c>
      <c r="O449">
        <v>4875</v>
      </c>
      <c r="P449">
        <v>4051</v>
      </c>
      <c r="Q449">
        <v>3866</v>
      </c>
      <c r="R449">
        <v>3752</v>
      </c>
      <c r="S449">
        <v>3517</v>
      </c>
      <c r="T449">
        <v>3082</v>
      </c>
      <c r="U449">
        <v>2507</v>
      </c>
      <c r="V449">
        <v>2103</v>
      </c>
      <c r="W449">
        <v>1882</v>
      </c>
      <c r="X449">
        <v>1695</v>
      </c>
      <c r="Y449">
        <v>1566</v>
      </c>
      <c r="Z449">
        <v>1298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960218</v>
      </c>
    </row>
    <row r="450" spans="1:51" hidden="1" x14ac:dyDescent="0.2">
      <c r="A450" t="s">
        <v>25</v>
      </c>
      <c r="C450">
        <v>448</v>
      </c>
      <c r="D450">
        <v>19</v>
      </c>
      <c r="E450" t="s">
        <v>527</v>
      </c>
      <c r="F450">
        <v>2014</v>
      </c>
      <c r="H450">
        <v>379797</v>
      </c>
      <c r="I450">
        <v>233782</v>
      </c>
      <c r="J450">
        <v>166443</v>
      </c>
      <c r="K450">
        <v>165887</v>
      </c>
      <c r="L450">
        <v>19315</v>
      </c>
      <c r="M450">
        <v>18162</v>
      </c>
      <c r="N450">
        <v>8163</v>
      </c>
      <c r="O450">
        <v>7650</v>
      </c>
      <c r="P450">
        <v>7581</v>
      </c>
      <c r="Q450">
        <v>4457</v>
      </c>
      <c r="R450">
        <v>4188</v>
      </c>
      <c r="S450">
        <v>4130</v>
      </c>
      <c r="T450">
        <v>4030</v>
      </c>
      <c r="U450">
        <v>3826</v>
      </c>
      <c r="V450">
        <v>2949</v>
      </c>
      <c r="W450">
        <v>2721</v>
      </c>
      <c r="X450">
        <v>2543</v>
      </c>
      <c r="Y450">
        <v>2246</v>
      </c>
      <c r="Z450">
        <v>1786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1039656</v>
      </c>
    </row>
    <row r="451" spans="1:51" hidden="1" x14ac:dyDescent="0.2">
      <c r="A451" t="s">
        <v>25</v>
      </c>
      <c r="C451">
        <v>449</v>
      </c>
      <c r="D451">
        <v>14</v>
      </c>
      <c r="E451" t="s">
        <v>528</v>
      </c>
      <c r="F451">
        <v>2014</v>
      </c>
      <c r="H451">
        <v>392213</v>
      </c>
      <c r="I451">
        <v>159871</v>
      </c>
      <c r="J451">
        <v>159688</v>
      </c>
      <c r="K451">
        <v>66084</v>
      </c>
      <c r="L451">
        <v>41890</v>
      </c>
      <c r="M451">
        <v>8322</v>
      </c>
      <c r="N451">
        <v>4947</v>
      </c>
      <c r="O451">
        <v>4377</v>
      </c>
      <c r="P451">
        <v>4263</v>
      </c>
      <c r="Q451">
        <v>3631</v>
      </c>
      <c r="R451">
        <v>3572</v>
      </c>
      <c r="S451">
        <v>2709</v>
      </c>
      <c r="T451">
        <v>1675</v>
      </c>
      <c r="U451">
        <v>1507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854749</v>
      </c>
    </row>
    <row r="452" spans="1:51" hidden="1" x14ac:dyDescent="0.2">
      <c r="A452" t="s">
        <v>25</v>
      </c>
      <c r="C452">
        <v>450</v>
      </c>
      <c r="D452">
        <v>16</v>
      </c>
      <c r="E452" t="s">
        <v>529</v>
      </c>
      <c r="F452">
        <v>2014</v>
      </c>
      <c r="H452">
        <v>359758</v>
      </c>
      <c r="I452">
        <v>220324</v>
      </c>
      <c r="J452">
        <v>163943</v>
      </c>
      <c r="K452">
        <v>141684</v>
      </c>
      <c r="L452">
        <v>13501</v>
      </c>
      <c r="M452">
        <v>6833</v>
      </c>
      <c r="N452">
        <v>6670</v>
      </c>
      <c r="O452">
        <v>6435</v>
      </c>
      <c r="P452">
        <v>6166</v>
      </c>
      <c r="Q452">
        <v>3674</v>
      </c>
      <c r="R452">
        <v>3297</v>
      </c>
      <c r="S452">
        <v>2815</v>
      </c>
      <c r="T452">
        <v>2529</v>
      </c>
      <c r="U452">
        <v>2506</v>
      </c>
      <c r="V452">
        <v>1096</v>
      </c>
      <c r="W452">
        <v>980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942211</v>
      </c>
    </row>
    <row r="453" spans="1:51" hidden="1" x14ac:dyDescent="0.2">
      <c r="A453" t="s">
        <v>25</v>
      </c>
      <c r="C453">
        <v>451</v>
      </c>
      <c r="D453">
        <v>22</v>
      </c>
      <c r="E453" t="s">
        <v>530</v>
      </c>
      <c r="F453">
        <v>2014</v>
      </c>
      <c r="H453">
        <v>367149</v>
      </c>
      <c r="I453">
        <v>220839</v>
      </c>
      <c r="J453">
        <v>180003</v>
      </c>
      <c r="K453">
        <v>64137</v>
      </c>
      <c r="L453">
        <v>43471</v>
      </c>
      <c r="M453">
        <v>42759</v>
      </c>
      <c r="N453">
        <v>20832</v>
      </c>
      <c r="O453">
        <v>19636</v>
      </c>
      <c r="P453">
        <v>7281</v>
      </c>
      <c r="Q453">
        <v>7206</v>
      </c>
      <c r="R453">
        <v>6814</v>
      </c>
      <c r="S453">
        <v>4026</v>
      </c>
      <c r="T453">
        <v>2773</v>
      </c>
      <c r="U453">
        <v>2694</v>
      </c>
      <c r="V453">
        <v>2608</v>
      </c>
      <c r="W453">
        <v>2595</v>
      </c>
      <c r="X453">
        <v>2329</v>
      </c>
      <c r="Y453">
        <v>2204</v>
      </c>
      <c r="Z453">
        <v>2109</v>
      </c>
      <c r="AA453">
        <v>2064</v>
      </c>
      <c r="AB453">
        <v>1863</v>
      </c>
      <c r="AC453">
        <v>1751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1007143</v>
      </c>
    </row>
    <row r="454" spans="1:51" hidden="1" x14ac:dyDescent="0.2">
      <c r="A454" t="s">
        <v>25</v>
      </c>
      <c r="C454">
        <v>452</v>
      </c>
      <c r="D454">
        <v>16</v>
      </c>
      <c r="E454" t="s">
        <v>531</v>
      </c>
      <c r="F454">
        <v>2014</v>
      </c>
      <c r="H454">
        <v>438210</v>
      </c>
      <c r="I454">
        <v>266055</v>
      </c>
      <c r="J454">
        <v>191387</v>
      </c>
      <c r="K454">
        <v>36275</v>
      </c>
      <c r="L454">
        <v>18777</v>
      </c>
      <c r="M454">
        <v>9223</v>
      </c>
      <c r="N454">
        <v>8448</v>
      </c>
      <c r="O454">
        <v>7833</v>
      </c>
      <c r="P454">
        <v>5279</v>
      </c>
      <c r="Q454">
        <v>4362</v>
      </c>
      <c r="R454">
        <v>2708</v>
      </c>
      <c r="S454">
        <v>2669</v>
      </c>
      <c r="T454">
        <v>2114</v>
      </c>
      <c r="U454">
        <v>1552</v>
      </c>
      <c r="V454">
        <v>1543</v>
      </c>
      <c r="W454">
        <v>1467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997902</v>
      </c>
    </row>
    <row r="455" spans="1:51" hidden="1" x14ac:dyDescent="0.2">
      <c r="A455" t="s">
        <v>25</v>
      </c>
      <c r="C455">
        <v>453</v>
      </c>
      <c r="D455">
        <v>19</v>
      </c>
      <c r="E455" t="s">
        <v>532</v>
      </c>
      <c r="F455">
        <v>2014</v>
      </c>
      <c r="H455">
        <v>306929</v>
      </c>
      <c r="I455">
        <v>274477</v>
      </c>
      <c r="J455">
        <v>241645</v>
      </c>
      <c r="K455">
        <v>59510</v>
      </c>
      <c r="L455">
        <v>34093</v>
      </c>
      <c r="M455">
        <v>18908</v>
      </c>
      <c r="N455">
        <v>6925</v>
      </c>
      <c r="O455">
        <v>6512</v>
      </c>
      <c r="P455">
        <v>6381</v>
      </c>
      <c r="Q455">
        <v>5611</v>
      </c>
      <c r="R455">
        <v>4889</v>
      </c>
      <c r="S455">
        <v>4019</v>
      </c>
      <c r="T455">
        <v>3585</v>
      </c>
      <c r="U455">
        <v>3468</v>
      </c>
      <c r="V455">
        <v>2484</v>
      </c>
      <c r="W455">
        <v>2416</v>
      </c>
      <c r="X455">
        <v>2122</v>
      </c>
      <c r="Y455">
        <v>1588</v>
      </c>
      <c r="Z455">
        <v>1111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986673</v>
      </c>
    </row>
    <row r="456" spans="1:51" hidden="1" x14ac:dyDescent="0.2">
      <c r="A456" t="s">
        <v>25</v>
      </c>
      <c r="C456">
        <v>454</v>
      </c>
      <c r="D456">
        <v>22</v>
      </c>
      <c r="E456" t="s">
        <v>533</v>
      </c>
      <c r="F456">
        <v>2014</v>
      </c>
      <c r="H456">
        <v>414135</v>
      </c>
      <c r="I456">
        <v>257379</v>
      </c>
      <c r="J456">
        <v>204145</v>
      </c>
      <c r="K456">
        <v>27194</v>
      </c>
      <c r="L456">
        <v>15598</v>
      </c>
      <c r="M456">
        <v>8756</v>
      </c>
      <c r="N456">
        <v>7767</v>
      </c>
      <c r="O456">
        <v>6170</v>
      </c>
      <c r="P456">
        <v>4993</v>
      </c>
      <c r="Q456">
        <v>4768</v>
      </c>
      <c r="R456">
        <v>4221</v>
      </c>
      <c r="S456">
        <v>3882</v>
      </c>
      <c r="T456">
        <v>3186</v>
      </c>
      <c r="U456">
        <v>2988</v>
      </c>
      <c r="V456">
        <v>2769</v>
      </c>
      <c r="W456">
        <v>2502</v>
      </c>
      <c r="X456">
        <v>2386</v>
      </c>
      <c r="Y456">
        <v>2148</v>
      </c>
      <c r="Z456">
        <v>1482</v>
      </c>
      <c r="AA456">
        <v>1423</v>
      </c>
      <c r="AB456">
        <v>1362</v>
      </c>
      <c r="AC456">
        <v>1318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980572</v>
      </c>
    </row>
    <row r="457" spans="1:51" hidden="1" x14ac:dyDescent="0.2">
      <c r="A457" t="s">
        <v>25</v>
      </c>
      <c r="C457">
        <v>455</v>
      </c>
      <c r="D457">
        <v>35</v>
      </c>
      <c r="E457" t="s">
        <v>534</v>
      </c>
      <c r="F457">
        <v>2014</v>
      </c>
      <c r="H457">
        <v>581022</v>
      </c>
      <c r="I457">
        <v>209238</v>
      </c>
      <c r="J457">
        <v>75614</v>
      </c>
      <c r="K457">
        <v>60579</v>
      </c>
      <c r="L457">
        <v>45291</v>
      </c>
      <c r="M457">
        <v>4327</v>
      </c>
      <c r="N457">
        <v>3634</v>
      </c>
      <c r="O457">
        <v>3023</v>
      </c>
      <c r="P457">
        <v>2850</v>
      </c>
      <c r="Q457">
        <v>2674</v>
      </c>
      <c r="R457">
        <v>2457</v>
      </c>
      <c r="S457">
        <v>2323</v>
      </c>
      <c r="T457">
        <v>2277</v>
      </c>
      <c r="U457">
        <v>2051</v>
      </c>
      <c r="V457">
        <v>2037</v>
      </c>
      <c r="W457">
        <v>2000</v>
      </c>
      <c r="X457">
        <v>1807</v>
      </c>
      <c r="Y457">
        <v>1740</v>
      </c>
      <c r="Z457">
        <v>1644</v>
      </c>
      <c r="AA457">
        <v>1524</v>
      </c>
      <c r="AB457">
        <v>1434</v>
      </c>
      <c r="AC457">
        <v>1376</v>
      </c>
      <c r="AD457">
        <v>1367</v>
      </c>
      <c r="AE457">
        <v>1361</v>
      </c>
      <c r="AF457">
        <v>1306</v>
      </c>
      <c r="AG457">
        <v>1202</v>
      </c>
      <c r="AH457">
        <v>1192</v>
      </c>
      <c r="AI457">
        <v>1172</v>
      </c>
      <c r="AJ457">
        <v>1151</v>
      </c>
      <c r="AK457">
        <v>1144</v>
      </c>
      <c r="AL457">
        <v>1089</v>
      </c>
      <c r="AM457">
        <v>1074</v>
      </c>
      <c r="AN457">
        <v>1012</v>
      </c>
      <c r="AO457">
        <v>997</v>
      </c>
      <c r="AP457">
        <v>937</v>
      </c>
      <c r="AQ457">
        <v>878</v>
      </c>
      <c r="AR457">
        <v>838</v>
      </c>
      <c r="AS457">
        <v>677</v>
      </c>
      <c r="AT457">
        <v>599</v>
      </c>
      <c r="AU457">
        <v>573</v>
      </c>
      <c r="AV457">
        <v>459</v>
      </c>
      <c r="AW457">
        <v>423</v>
      </c>
      <c r="AX457">
        <v>312</v>
      </c>
      <c r="AY457">
        <v>1030685</v>
      </c>
    </row>
    <row r="458" spans="1:51" hidden="1" x14ac:dyDescent="0.2">
      <c r="A458" t="s">
        <v>25</v>
      </c>
      <c r="C458">
        <v>456</v>
      </c>
      <c r="D458">
        <v>15</v>
      </c>
      <c r="E458" t="s">
        <v>535</v>
      </c>
      <c r="F458">
        <v>2014</v>
      </c>
      <c r="H458">
        <v>403695</v>
      </c>
      <c r="I458">
        <v>245554</v>
      </c>
      <c r="J458">
        <v>238712</v>
      </c>
      <c r="K458">
        <v>26995</v>
      </c>
      <c r="L458">
        <v>22573</v>
      </c>
      <c r="M458">
        <v>8969</v>
      </c>
      <c r="N458">
        <v>7734</v>
      </c>
      <c r="O458">
        <v>5808</v>
      </c>
      <c r="P458">
        <v>4821</v>
      </c>
      <c r="Q458">
        <v>4319</v>
      </c>
      <c r="R458">
        <v>4169</v>
      </c>
      <c r="S458">
        <v>2442</v>
      </c>
      <c r="T458">
        <v>2191</v>
      </c>
      <c r="U458">
        <v>1964</v>
      </c>
      <c r="V458">
        <v>1920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981866</v>
      </c>
    </row>
    <row r="459" spans="1:51" hidden="1" x14ac:dyDescent="0.2">
      <c r="A459" t="s">
        <v>25</v>
      </c>
      <c r="C459">
        <v>457</v>
      </c>
      <c r="D459">
        <v>24</v>
      </c>
      <c r="E459" t="s">
        <v>536</v>
      </c>
      <c r="F459">
        <v>2014</v>
      </c>
      <c r="H459">
        <v>436536</v>
      </c>
      <c r="I459">
        <v>217457</v>
      </c>
      <c r="J459">
        <v>152666</v>
      </c>
      <c r="K459">
        <v>108859</v>
      </c>
      <c r="L459">
        <v>11245</v>
      </c>
      <c r="M459">
        <v>7947</v>
      </c>
      <c r="N459">
        <v>6811</v>
      </c>
      <c r="O459">
        <v>6762</v>
      </c>
      <c r="P459">
        <v>4787</v>
      </c>
      <c r="Q459">
        <v>4639</v>
      </c>
      <c r="R459">
        <v>4548</v>
      </c>
      <c r="S459">
        <v>4539</v>
      </c>
      <c r="T459">
        <v>4405</v>
      </c>
      <c r="U459">
        <v>4318</v>
      </c>
      <c r="V459">
        <v>4304</v>
      </c>
      <c r="W459">
        <v>4209</v>
      </c>
      <c r="X459">
        <v>4148</v>
      </c>
      <c r="Y459">
        <v>3627</v>
      </c>
      <c r="Z459">
        <v>3324</v>
      </c>
      <c r="AA459">
        <v>3300</v>
      </c>
      <c r="AB459">
        <v>2685</v>
      </c>
      <c r="AC459">
        <v>2363</v>
      </c>
      <c r="AD459">
        <v>2138</v>
      </c>
      <c r="AE459">
        <v>2010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1007627</v>
      </c>
    </row>
    <row r="460" spans="1:51" hidden="1" x14ac:dyDescent="0.2">
      <c r="A460" t="s">
        <v>25</v>
      </c>
      <c r="C460">
        <v>458</v>
      </c>
      <c r="D460">
        <v>15</v>
      </c>
      <c r="E460" t="s">
        <v>537</v>
      </c>
      <c r="F460">
        <v>2014</v>
      </c>
      <c r="H460">
        <v>378211</v>
      </c>
      <c r="I460">
        <v>187725</v>
      </c>
      <c r="J460">
        <v>135966</v>
      </c>
      <c r="K460">
        <v>86235</v>
      </c>
      <c r="L460">
        <v>24363</v>
      </c>
      <c r="M460">
        <v>18489</v>
      </c>
      <c r="N460">
        <v>9913</v>
      </c>
      <c r="O460">
        <v>9408</v>
      </c>
      <c r="P460">
        <v>7703</v>
      </c>
      <c r="Q460">
        <v>6101</v>
      </c>
      <c r="R460">
        <v>5613</v>
      </c>
      <c r="S460">
        <v>5307</v>
      </c>
      <c r="T460">
        <v>4891</v>
      </c>
      <c r="U460">
        <v>2982</v>
      </c>
      <c r="V460">
        <v>2966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885873</v>
      </c>
    </row>
    <row r="461" spans="1:51" hidden="1" x14ac:dyDescent="0.2">
      <c r="A461" t="s">
        <v>27</v>
      </c>
      <c r="C461">
        <v>459</v>
      </c>
      <c r="D461">
        <v>13</v>
      </c>
      <c r="E461" t="s">
        <v>538</v>
      </c>
      <c r="F461">
        <v>2014</v>
      </c>
      <c r="H461">
        <v>526499</v>
      </c>
      <c r="I461">
        <v>439392</v>
      </c>
      <c r="J461">
        <v>217653</v>
      </c>
      <c r="K461">
        <v>74540</v>
      </c>
      <c r="L461">
        <v>15683</v>
      </c>
      <c r="M461">
        <v>13205</v>
      </c>
      <c r="N461">
        <v>11409</v>
      </c>
      <c r="O461">
        <v>7125</v>
      </c>
      <c r="P461">
        <v>6742</v>
      </c>
      <c r="Q461">
        <v>5796</v>
      </c>
      <c r="R461">
        <v>5137</v>
      </c>
      <c r="S461">
        <v>5059</v>
      </c>
      <c r="T461">
        <v>4169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1332409</v>
      </c>
    </row>
    <row r="462" spans="1:51" hidden="1" x14ac:dyDescent="0.2">
      <c r="A462" t="s">
        <v>27</v>
      </c>
      <c r="C462">
        <v>460</v>
      </c>
      <c r="D462">
        <v>11</v>
      </c>
      <c r="E462" t="s">
        <v>539</v>
      </c>
      <c r="F462">
        <v>2014</v>
      </c>
      <c r="H462">
        <v>362453</v>
      </c>
      <c r="I462">
        <v>341056</v>
      </c>
      <c r="J462">
        <v>335857</v>
      </c>
      <c r="K462">
        <v>116718</v>
      </c>
      <c r="L462">
        <v>19885</v>
      </c>
      <c r="M462">
        <v>11039</v>
      </c>
      <c r="N462">
        <v>10450</v>
      </c>
      <c r="O462">
        <v>7676</v>
      </c>
      <c r="P462">
        <v>7131</v>
      </c>
      <c r="Q462">
        <v>5961</v>
      </c>
      <c r="R462">
        <v>5340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1223566</v>
      </c>
    </row>
    <row r="463" spans="1:51" hidden="1" x14ac:dyDescent="0.2">
      <c r="A463" t="s">
        <v>27</v>
      </c>
      <c r="C463">
        <v>461</v>
      </c>
      <c r="D463">
        <v>13</v>
      </c>
      <c r="E463" t="s">
        <v>540</v>
      </c>
      <c r="F463">
        <v>2014</v>
      </c>
      <c r="H463">
        <v>494773</v>
      </c>
      <c r="I463">
        <v>425167</v>
      </c>
      <c r="J463">
        <v>221593</v>
      </c>
      <c r="K463">
        <v>87588</v>
      </c>
      <c r="L463">
        <v>16541</v>
      </c>
      <c r="M463">
        <v>12147</v>
      </c>
      <c r="N463">
        <v>9283</v>
      </c>
      <c r="O463">
        <v>8545</v>
      </c>
      <c r="P463">
        <v>7636</v>
      </c>
      <c r="Q463">
        <v>6608</v>
      </c>
      <c r="R463">
        <v>4900</v>
      </c>
      <c r="S463">
        <v>4501</v>
      </c>
      <c r="T463">
        <v>2835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1302117</v>
      </c>
    </row>
    <row r="464" spans="1:51" hidden="1" x14ac:dyDescent="0.2">
      <c r="A464" t="s">
        <v>27</v>
      </c>
      <c r="C464">
        <v>462</v>
      </c>
      <c r="D464">
        <v>14</v>
      </c>
      <c r="E464" t="s">
        <v>541</v>
      </c>
      <c r="F464">
        <v>2014</v>
      </c>
      <c r="H464">
        <v>488257</v>
      </c>
      <c r="I464">
        <v>291018</v>
      </c>
      <c r="J464">
        <v>167186</v>
      </c>
      <c r="K464">
        <v>90076</v>
      </c>
      <c r="L464">
        <v>55767</v>
      </c>
      <c r="M464">
        <v>18045</v>
      </c>
      <c r="N464">
        <v>6100</v>
      </c>
      <c r="O464">
        <v>6040</v>
      </c>
      <c r="P464">
        <v>5449</v>
      </c>
      <c r="Q464">
        <v>3993</v>
      </c>
      <c r="R464">
        <v>3043</v>
      </c>
      <c r="S464">
        <v>2906</v>
      </c>
      <c r="T464">
        <v>2100</v>
      </c>
      <c r="U464">
        <v>2029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1142009</v>
      </c>
    </row>
    <row r="465" spans="1:51" hidden="1" x14ac:dyDescent="0.2">
      <c r="A465" t="s">
        <v>27</v>
      </c>
      <c r="C465">
        <v>463</v>
      </c>
      <c r="D465">
        <v>13</v>
      </c>
      <c r="E465" t="s">
        <v>542</v>
      </c>
      <c r="F465">
        <v>2014</v>
      </c>
      <c r="H465">
        <v>317515</v>
      </c>
      <c r="I465">
        <v>315881</v>
      </c>
      <c r="J465">
        <v>203131</v>
      </c>
      <c r="K465">
        <v>192698</v>
      </c>
      <c r="L465">
        <v>32303</v>
      </c>
      <c r="M465">
        <v>10929</v>
      </c>
      <c r="N465">
        <v>8592</v>
      </c>
      <c r="O465">
        <v>5629</v>
      </c>
      <c r="P465">
        <v>5548</v>
      </c>
      <c r="Q465">
        <v>5544</v>
      </c>
      <c r="R465">
        <v>3614</v>
      </c>
      <c r="S465">
        <v>3471</v>
      </c>
      <c r="T465">
        <v>3338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1108193</v>
      </c>
    </row>
    <row r="466" spans="1:51" hidden="1" x14ac:dyDescent="0.2">
      <c r="A466" t="s">
        <v>27</v>
      </c>
      <c r="C466">
        <v>464</v>
      </c>
      <c r="D466">
        <v>13</v>
      </c>
      <c r="E466" t="s">
        <v>543</v>
      </c>
      <c r="F466">
        <v>2014</v>
      </c>
      <c r="H466">
        <v>409641</v>
      </c>
      <c r="I466">
        <v>302677</v>
      </c>
      <c r="J466">
        <v>223014</v>
      </c>
      <c r="K466">
        <v>80715</v>
      </c>
      <c r="L466">
        <v>11691</v>
      </c>
      <c r="M466">
        <v>10547</v>
      </c>
      <c r="N466">
        <v>5647</v>
      </c>
      <c r="O466">
        <v>4774</v>
      </c>
      <c r="P466">
        <v>4581</v>
      </c>
      <c r="Q466">
        <v>3969</v>
      </c>
      <c r="R466">
        <v>2644</v>
      </c>
      <c r="S466">
        <v>1687</v>
      </c>
      <c r="T466">
        <v>1466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1063053</v>
      </c>
    </row>
    <row r="467" spans="1:51" hidden="1" x14ac:dyDescent="0.2">
      <c r="A467" t="s">
        <v>27</v>
      </c>
      <c r="C467">
        <v>465</v>
      </c>
      <c r="D467">
        <v>15</v>
      </c>
      <c r="E467" t="s">
        <v>544</v>
      </c>
      <c r="F467">
        <v>2014</v>
      </c>
      <c r="H467">
        <v>388609</v>
      </c>
      <c r="I467">
        <v>322904</v>
      </c>
      <c r="J467">
        <v>197313</v>
      </c>
      <c r="K467">
        <v>179000</v>
      </c>
      <c r="L467">
        <v>12163</v>
      </c>
      <c r="M467">
        <v>10481</v>
      </c>
      <c r="N467">
        <v>8988</v>
      </c>
      <c r="O467">
        <v>7128</v>
      </c>
      <c r="P467">
        <v>6805</v>
      </c>
      <c r="Q467">
        <v>6446</v>
      </c>
      <c r="R467">
        <v>6229</v>
      </c>
      <c r="S467">
        <v>4696</v>
      </c>
      <c r="T467">
        <v>4650</v>
      </c>
      <c r="U467">
        <v>4225</v>
      </c>
      <c r="V467">
        <v>3348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1162985</v>
      </c>
    </row>
    <row r="468" spans="1:51" hidden="1" x14ac:dyDescent="0.2">
      <c r="A468" t="s">
        <v>27</v>
      </c>
      <c r="C468">
        <v>466</v>
      </c>
      <c r="D468">
        <v>18</v>
      </c>
      <c r="E468" t="s">
        <v>545</v>
      </c>
      <c r="F468">
        <v>2014</v>
      </c>
      <c r="H468">
        <v>380291</v>
      </c>
      <c r="I468">
        <v>216180</v>
      </c>
      <c r="J468">
        <v>209480</v>
      </c>
      <c r="K468">
        <v>192632</v>
      </c>
      <c r="L468">
        <v>21207</v>
      </c>
      <c r="M468">
        <v>12952</v>
      </c>
      <c r="N468">
        <v>11426</v>
      </c>
      <c r="O468">
        <v>10536</v>
      </c>
      <c r="P468">
        <v>8392</v>
      </c>
      <c r="Q468">
        <v>6616</v>
      </c>
      <c r="R468">
        <v>6138</v>
      </c>
      <c r="S468">
        <v>3377</v>
      </c>
      <c r="T468">
        <v>3282</v>
      </c>
      <c r="U468">
        <v>2720</v>
      </c>
      <c r="V468">
        <v>2466</v>
      </c>
      <c r="W468">
        <v>1921</v>
      </c>
      <c r="X468">
        <v>1449</v>
      </c>
      <c r="Y468">
        <v>1342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1092407</v>
      </c>
    </row>
    <row r="469" spans="1:51" hidden="1" x14ac:dyDescent="0.2">
      <c r="A469" t="s">
        <v>27</v>
      </c>
      <c r="C469">
        <v>467</v>
      </c>
      <c r="D469">
        <v>12</v>
      </c>
      <c r="E469" t="s">
        <v>546</v>
      </c>
      <c r="F469">
        <v>2014</v>
      </c>
      <c r="H469">
        <v>378201</v>
      </c>
      <c r="I469">
        <v>370040</v>
      </c>
      <c r="J469">
        <v>207455</v>
      </c>
      <c r="K469">
        <v>96751</v>
      </c>
      <c r="L469">
        <v>17257</v>
      </c>
      <c r="M469">
        <v>11079</v>
      </c>
      <c r="N469">
        <v>10055</v>
      </c>
      <c r="O469">
        <v>9476</v>
      </c>
      <c r="P469">
        <v>7926</v>
      </c>
      <c r="Q469">
        <v>5507</v>
      </c>
      <c r="R469">
        <v>3019</v>
      </c>
      <c r="S469">
        <v>2318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1119084</v>
      </c>
    </row>
    <row r="470" spans="1:51" hidden="1" x14ac:dyDescent="0.2">
      <c r="A470" t="s">
        <v>27</v>
      </c>
      <c r="C470">
        <v>468</v>
      </c>
      <c r="D470">
        <v>9</v>
      </c>
      <c r="E470" t="s">
        <v>547</v>
      </c>
      <c r="F470">
        <v>2014</v>
      </c>
      <c r="H470">
        <v>583549</v>
      </c>
      <c r="I470">
        <v>226982</v>
      </c>
      <c r="J470">
        <v>225699</v>
      </c>
      <c r="K470">
        <v>81656</v>
      </c>
      <c r="L470">
        <v>11642</v>
      </c>
      <c r="M470">
        <v>11192</v>
      </c>
      <c r="N470">
        <v>4869</v>
      </c>
      <c r="O470">
        <v>4676</v>
      </c>
      <c r="P470">
        <v>4322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1154587</v>
      </c>
    </row>
    <row r="471" spans="1:51" hidden="1" x14ac:dyDescent="0.2">
      <c r="A471" t="s">
        <v>27</v>
      </c>
      <c r="C471">
        <v>469</v>
      </c>
      <c r="D471">
        <v>13</v>
      </c>
      <c r="E471" t="s">
        <v>548</v>
      </c>
      <c r="F471">
        <v>2014</v>
      </c>
      <c r="H471">
        <v>426947</v>
      </c>
      <c r="I471">
        <v>408494</v>
      </c>
      <c r="J471">
        <v>289027</v>
      </c>
      <c r="K471">
        <v>101069</v>
      </c>
      <c r="L471">
        <v>11333</v>
      </c>
      <c r="M471">
        <v>10156</v>
      </c>
      <c r="N471">
        <v>8378</v>
      </c>
      <c r="O471">
        <v>6445</v>
      </c>
      <c r="P471">
        <v>6010</v>
      </c>
      <c r="Q471">
        <v>5722</v>
      </c>
      <c r="R471">
        <v>5383</v>
      </c>
      <c r="S471">
        <v>4539</v>
      </c>
      <c r="T471">
        <v>4260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1287763</v>
      </c>
    </row>
    <row r="472" spans="1:51" hidden="1" x14ac:dyDescent="0.2">
      <c r="A472" t="s">
        <v>27</v>
      </c>
      <c r="C472">
        <v>470</v>
      </c>
      <c r="D472">
        <v>10</v>
      </c>
      <c r="E472" t="s">
        <v>549</v>
      </c>
      <c r="F472">
        <v>2014</v>
      </c>
      <c r="H472">
        <v>438789</v>
      </c>
      <c r="I472">
        <v>367534</v>
      </c>
      <c r="J472">
        <v>329387</v>
      </c>
      <c r="K472">
        <v>74789</v>
      </c>
      <c r="L472">
        <v>7777</v>
      </c>
      <c r="M472">
        <v>7642</v>
      </c>
      <c r="N472">
        <v>7214</v>
      </c>
      <c r="O472">
        <v>6168</v>
      </c>
      <c r="P472">
        <v>4865</v>
      </c>
      <c r="Q472">
        <v>3749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1247914</v>
      </c>
    </row>
    <row r="473" spans="1:51" hidden="1" x14ac:dyDescent="0.2">
      <c r="A473" t="s">
        <v>27</v>
      </c>
      <c r="C473">
        <v>471</v>
      </c>
      <c r="D473">
        <v>10</v>
      </c>
      <c r="E473" t="s">
        <v>550</v>
      </c>
      <c r="F473">
        <v>2014</v>
      </c>
      <c r="H473">
        <v>590451</v>
      </c>
      <c r="I473">
        <v>388684</v>
      </c>
      <c r="J473">
        <v>233670</v>
      </c>
      <c r="K473">
        <v>92218</v>
      </c>
      <c r="L473">
        <v>14626</v>
      </c>
      <c r="M473">
        <v>9116</v>
      </c>
      <c r="N473">
        <v>8658</v>
      </c>
      <c r="O473">
        <v>7952</v>
      </c>
      <c r="P473">
        <v>3992</v>
      </c>
      <c r="Q473">
        <v>3829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1353196</v>
      </c>
    </row>
    <row r="474" spans="1:51" hidden="1" x14ac:dyDescent="0.2">
      <c r="A474" t="s">
        <v>27</v>
      </c>
      <c r="C474">
        <v>472</v>
      </c>
      <c r="D474">
        <v>12</v>
      </c>
      <c r="E474" t="s">
        <v>551</v>
      </c>
      <c r="F474">
        <v>2014</v>
      </c>
      <c r="H474">
        <v>551213</v>
      </c>
      <c r="I474">
        <v>404612</v>
      </c>
      <c r="J474">
        <v>244783</v>
      </c>
      <c r="K474">
        <v>43866</v>
      </c>
      <c r="L474">
        <v>9965</v>
      </c>
      <c r="M474">
        <v>9207</v>
      </c>
      <c r="N474">
        <v>8738</v>
      </c>
      <c r="O474">
        <v>3589</v>
      </c>
      <c r="P474">
        <v>2848</v>
      </c>
      <c r="Q474">
        <v>2624</v>
      </c>
      <c r="R474">
        <v>1172</v>
      </c>
      <c r="S474">
        <v>1071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1283688</v>
      </c>
    </row>
    <row r="475" spans="1:51" hidden="1" x14ac:dyDescent="0.2">
      <c r="A475" t="s">
        <v>27</v>
      </c>
      <c r="C475">
        <v>473</v>
      </c>
      <c r="D475">
        <v>13</v>
      </c>
      <c r="E475" t="s">
        <v>552</v>
      </c>
      <c r="F475">
        <v>2014</v>
      </c>
      <c r="H475">
        <v>479206</v>
      </c>
      <c r="I475">
        <v>272433</v>
      </c>
      <c r="J475">
        <v>230401</v>
      </c>
      <c r="K475">
        <v>30491</v>
      </c>
      <c r="L475">
        <v>10979</v>
      </c>
      <c r="M475">
        <v>5458</v>
      </c>
      <c r="N475">
        <v>5036</v>
      </c>
      <c r="O475">
        <v>4416</v>
      </c>
      <c r="P475">
        <v>3555</v>
      </c>
      <c r="Q475">
        <v>3132</v>
      </c>
      <c r="R475">
        <v>2200</v>
      </c>
      <c r="S475">
        <v>2036</v>
      </c>
      <c r="T475">
        <v>1787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1051130</v>
      </c>
    </row>
    <row r="476" spans="1:51" hidden="1" x14ac:dyDescent="0.2">
      <c r="A476" t="s">
        <v>27</v>
      </c>
      <c r="C476">
        <v>474</v>
      </c>
      <c r="D476">
        <v>10</v>
      </c>
      <c r="E476" t="s">
        <v>553</v>
      </c>
      <c r="F476">
        <v>2014</v>
      </c>
      <c r="H476">
        <v>483244</v>
      </c>
      <c r="I476">
        <v>328310</v>
      </c>
      <c r="J476">
        <v>254819</v>
      </c>
      <c r="K476">
        <v>34116</v>
      </c>
      <c r="L476">
        <v>16837</v>
      </c>
      <c r="M476">
        <v>4823</v>
      </c>
      <c r="N476">
        <v>4077</v>
      </c>
      <c r="O476">
        <v>3256</v>
      </c>
      <c r="P476">
        <v>1618</v>
      </c>
      <c r="Q476">
        <v>1544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1132644</v>
      </c>
    </row>
    <row r="477" spans="1:51" hidden="1" x14ac:dyDescent="0.2">
      <c r="A477" t="s">
        <v>27</v>
      </c>
      <c r="C477">
        <v>475</v>
      </c>
      <c r="D477">
        <v>13</v>
      </c>
      <c r="E477" t="s">
        <v>554</v>
      </c>
      <c r="F477">
        <v>2014</v>
      </c>
      <c r="H477">
        <v>525387</v>
      </c>
      <c r="I477">
        <v>352246</v>
      </c>
      <c r="J477">
        <v>296608</v>
      </c>
      <c r="K477">
        <v>40660</v>
      </c>
      <c r="L477">
        <v>12700</v>
      </c>
      <c r="M477">
        <v>12178</v>
      </c>
      <c r="N477">
        <v>6911</v>
      </c>
      <c r="O477">
        <v>6895</v>
      </c>
      <c r="P477">
        <v>6375</v>
      </c>
      <c r="Q477">
        <v>4122</v>
      </c>
      <c r="R477">
        <v>2439</v>
      </c>
      <c r="S477">
        <v>1478</v>
      </c>
      <c r="T477">
        <v>1332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1269331</v>
      </c>
    </row>
    <row r="478" spans="1:51" hidden="1" x14ac:dyDescent="0.2">
      <c r="A478" t="s">
        <v>27</v>
      </c>
      <c r="C478">
        <v>476</v>
      </c>
      <c r="D478">
        <v>10</v>
      </c>
      <c r="E478" t="s">
        <v>555</v>
      </c>
      <c r="F478">
        <v>2014</v>
      </c>
      <c r="H478">
        <v>492326</v>
      </c>
      <c r="I478">
        <v>382667</v>
      </c>
      <c r="J478">
        <v>233887</v>
      </c>
      <c r="K478">
        <v>102130</v>
      </c>
      <c r="L478">
        <v>25178</v>
      </c>
      <c r="M478">
        <v>9971</v>
      </c>
      <c r="N478">
        <v>8088</v>
      </c>
      <c r="O478">
        <v>7016</v>
      </c>
      <c r="P478">
        <v>6532</v>
      </c>
      <c r="Q478">
        <v>5976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1273771</v>
      </c>
    </row>
    <row r="479" spans="1:51" hidden="1" x14ac:dyDescent="0.2">
      <c r="A479" t="s">
        <v>27</v>
      </c>
      <c r="C479">
        <v>477</v>
      </c>
      <c r="D479">
        <v>11</v>
      </c>
      <c r="E479" t="s">
        <v>556</v>
      </c>
      <c r="F479">
        <v>2014</v>
      </c>
      <c r="H479">
        <v>494746</v>
      </c>
      <c r="I479">
        <v>386362</v>
      </c>
      <c r="J479">
        <v>117454</v>
      </c>
      <c r="K479">
        <v>113206</v>
      </c>
      <c r="L479">
        <v>38493</v>
      </c>
      <c r="M479">
        <v>13333</v>
      </c>
      <c r="N479">
        <v>8819</v>
      </c>
      <c r="O479">
        <v>5908</v>
      </c>
      <c r="P479">
        <v>5161</v>
      </c>
      <c r="Q479">
        <v>2909</v>
      </c>
      <c r="R479">
        <v>2657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1189048</v>
      </c>
    </row>
    <row r="480" spans="1:51" hidden="1" x14ac:dyDescent="0.2">
      <c r="A480" t="s">
        <v>27</v>
      </c>
      <c r="C480">
        <v>478</v>
      </c>
      <c r="D480">
        <v>11</v>
      </c>
      <c r="E480" t="s">
        <v>557</v>
      </c>
      <c r="F480">
        <v>2014</v>
      </c>
      <c r="H480">
        <v>630262</v>
      </c>
      <c r="I480">
        <v>491494</v>
      </c>
      <c r="J480">
        <v>66538</v>
      </c>
      <c r="K480">
        <v>47376</v>
      </c>
      <c r="L480">
        <v>10203</v>
      </c>
      <c r="M480">
        <v>9342</v>
      </c>
      <c r="N480">
        <v>4693</v>
      </c>
      <c r="O480">
        <v>4395</v>
      </c>
      <c r="P480">
        <v>3221</v>
      </c>
      <c r="Q480">
        <v>2100</v>
      </c>
      <c r="R480">
        <v>1361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1270985</v>
      </c>
    </row>
    <row r="481" spans="1:51" hidden="1" x14ac:dyDescent="0.2">
      <c r="A481" t="s">
        <v>27</v>
      </c>
      <c r="C481">
        <v>479</v>
      </c>
      <c r="D481">
        <v>17</v>
      </c>
      <c r="E481" t="s">
        <v>558</v>
      </c>
      <c r="F481">
        <v>2014</v>
      </c>
      <c r="H481">
        <v>508481</v>
      </c>
      <c r="I481">
        <v>437183</v>
      </c>
      <c r="J481">
        <v>200858</v>
      </c>
      <c r="K481">
        <v>63047</v>
      </c>
      <c r="L481">
        <v>10657</v>
      </c>
      <c r="M481">
        <v>8740</v>
      </c>
      <c r="N481">
        <v>6634</v>
      </c>
      <c r="O481">
        <v>6633</v>
      </c>
      <c r="P481">
        <v>3607</v>
      </c>
      <c r="Q481">
        <v>3272</v>
      </c>
      <c r="R481">
        <v>2892</v>
      </c>
      <c r="S481">
        <v>2529</v>
      </c>
      <c r="T481">
        <v>1856</v>
      </c>
      <c r="U481">
        <v>1348</v>
      </c>
      <c r="V481">
        <v>1322</v>
      </c>
      <c r="W481">
        <v>1260</v>
      </c>
      <c r="X481">
        <v>977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1261296</v>
      </c>
    </row>
    <row r="482" spans="1:51" hidden="1" x14ac:dyDescent="0.2">
      <c r="A482" t="s">
        <v>27</v>
      </c>
      <c r="C482">
        <v>480</v>
      </c>
      <c r="D482">
        <v>14</v>
      </c>
      <c r="E482" t="s">
        <v>559</v>
      </c>
      <c r="F482">
        <v>2014</v>
      </c>
      <c r="H482">
        <v>584244</v>
      </c>
      <c r="I482">
        <v>459041</v>
      </c>
      <c r="J482">
        <v>155511</v>
      </c>
      <c r="K482">
        <v>26344</v>
      </c>
      <c r="L482">
        <v>15667</v>
      </c>
      <c r="M482">
        <v>11317</v>
      </c>
      <c r="N482">
        <v>3945</v>
      </c>
      <c r="O482">
        <v>3406</v>
      </c>
      <c r="P482">
        <v>3067</v>
      </c>
      <c r="Q482">
        <v>2885</v>
      </c>
      <c r="R482">
        <v>2837</v>
      </c>
      <c r="S482">
        <v>1464</v>
      </c>
      <c r="T482">
        <v>1340</v>
      </c>
      <c r="U482">
        <v>1294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1272362</v>
      </c>
    </row>
    <row r="483" spans="1:51" hidden="1" x14ac:dyDescent="0.2">
      <c r="A483" t="s">
        <v>27</v>
      </c>
      <c r="C483">
        <v>481</v>
      </c>
      <c r="D483">
        <v>16</v>
      </c>
      <c r="E483" t="s">
        <v>560</v>
      </c>
      <c r="F483">
        <v>2014</v>
      </c>
      <c r="H483">
        <v>431715</v>
      </c>
      <c r="I483">
        <v>295376</v>
      </c>
      <c r="J483">
        <v>278414</v>
      </c>
      <c r="K483">
        <v>113453</v>
      </c>
      <c r="L483">
        <v>19511</v>
      </c>
      <c r="M483">
        <v>4564</v>
      </c>
      <c r="N483">
        <v>4335</v>
      </c>
      <c r="O483">
        <v>3994</v>
      </c>
      <c r="P483">
        <v>3776</v>
      </c>
      <c r="Q483">
        <v>3356</v>
      </c>
      <c r="R483">
        <v>2921</v>
      </c>
      <c r="S483">
        <v>1844</v>
      </c>
      <c r="T483">
        <v>1554</v>
      </c>
      <c r="U483">
        <v>1195</v>
      </c>
      <c r="V483">
        <v>1103</v>
      </c>
      <c r="W483">
        <v>875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1167986</v>
      </c>
    </row>
    <row r="484" spans="1:51" hidden="1" x14ac:dyDescent="0.2">
      <c r="A484" t="s">
        <v>27</v>
      </c>
      <c r="C484">
        <v>482</v>
      </c>
      <c r="D484">
        <v>19</v>
      </c>
      <c r="E484" t="s">
        <v>561</v>
      </c>
      <c r="F484">
        <v>2014</v>
      </c>
      <c r="H484">
        <v>343687</v>
      </c>
      <c r="I484">
        <v>247461</v>
      </c>
      <c r="J484">
        <v>196053</v>
      </c>
      <c r="K484">
        <v>130783</v>
      </c>
      <c r="L484">
        <v>9103</v>
      </c>
      <c r="M484">
        <v>4808</v>
      </c>
      <c r="N484">
        <v>4399</v>
      </c>
      <c r="O484">
        <v>4168</v>
      </c>
      <c r="P484">
        <v>3752</v>
      </c>
      <c r="Q484">
        <v>2127</v>
      </c>
      <c r="R484">
        <v>1860</v>
      </c>
      <c r="S484">
        <v>1810</v>
      </c>
      <c r="T484">
        <v>1435</v>
      </c>
      <c r="U484">
        <v>1149</v>
      </c>
      <c r="V484">
        <v>749</v>
      </c>
      <c r="W484">
        <v>708</v>
      </c>
      <c r="X484">
        <v>660</v>
      </c>
      <c r="Y484">
        <v>548</v>
      </c>
      <c r="Z484">
        <v>518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955778</v>
      </c>
    </row>
    <row r="485" spans="1:51" hidden="1" x14ac:dyDescent="0.2">
      <c r="A485" t="s">
        <v>27</v>
      </c>
      <c r="C485">
        <v>483</v>
      </c>
      <c r="D485">
        <v>16</v>
      </c>
      <c r="E485" t="s">
        <v>562</v>
      </c>
      <c r="F485">
        <v>2014</v>
      </c>
      <c r="H485">
        <v>488461</v>
      </c>
      <c r="I485">
        <v>291505</v>
      </c>
      <c r="J485">
        <v>248120</v>
      </c>
      <c r="K485">
        <v>63254</v>
      </c>
      <c r="L485">
        <v>9929</v>
      </c>
      <c r="M485">
        <v>4441</v>
      </c>
      <c r="N485">
        <v>3241</v>
      </c>
      <c r="O485">
        <v>2680</v>
      </c>
      <c r="P485">
        <v>2343</v>
      </c>
      <c r="Q485">
        <v>2186</v>
      </c>
      <c r="R485">
        <v>2105</v>
      </c>
      <c r="S485">
        <v>2034</v>
      </c>
      <c r="T485">
        <v>1814</v>
      </c>
      <c r="U485">
        <v>1572</v>
      </c>
      <c r="V485">
        <v>1079</v>
      </c>
      <c r="W485">
        <v>635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1125399</v>
      </c>
    </row>
    <row r="486" spans="1:51" hidden="1" x14ac:dyDescent="0.2">
      <c r="A486" t="s">
        <v>27</v>
      </c>
      <c r="C486">
        <v>484</v>
      </c>
      <c r="D486">
        <v>14</v>
      </c>
      <c r="E486" t="s">
        <v>563</v>
      </c>
      <c r="F486">
        <v>2014</v>
      </c>
      <c r="H486">
        <v>570785</v>
      </c>
      <c r="I486">
        <v>369563</v>
      </c>
      <c r="J486">
        <v>137137</v>
      </c>
      <c r="K486">
        <v>67826</v>
      </c>
      <c r="L486">
        <v>8277</v>
      </c>
      <c r="M486">
        <v>6607</v>
      </c>
      <c r="N486">
        <v>5709</v>
      </c>
      <c r="O486">
        <v>3947</v>
      </c>
      <c r="P486">
        <v>3918</v>
      </c>
      <c r="Q486">
        <v>2990</v>
      </c>
      <c r="R486">
        <v>2902</v>
      </c>
      <c r="S486">
        <v>2529</v>
      </c>
      <c r="T486">
        <v>2437</v>
      </c>
      <c r="U486">
        <v>1400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1186027</v>
      </c>
    </row>
    <row r="487" spans="1:51" hidden="1" x14ac:dyDescent="0.2">
      <c r="A487" t="s">
        <v>27</v>
      </c>
      <c r="C487">
        <v>485</v>
      </c>
      <c r="D487">
        <v>11</v>
      </c>
      <c r="E487" t="s">
        <v>564</v>
      </c>
      <c r="F487">
        <v>2014</v>
      </c>
      <c r="H487">
        <v>514933</v>
      </c>
      <c r="I487">
        <v>362407</v>
      </c>
      <c r="J487">
        <v>287712</v>
      </c>
      <c r="K487">
        <v>86099</v>
      </c>
      <c r="L487">
        <v>15374</v>
      </c>
      <c r="M487">
        <v>6613</v>
      </c>
      <c r="N487">
        <v>4277</v>
      </c>
      <c r="O487">
        <v>4240</v>
      </c>
      <c r="P487">
        <v>3406</v>
      </c>
      <c r="Q487">
        <v>2698</v>
      </c>
      <c r="R487">
        <v>2674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1290433</v>
      </c>
    </row>
    <row r="488" spans="1:51" hidden="1" x14ac:dyDescent="0.2">
      <c r="A488" t="s">
        <v>27</v>
      </c>
      <c r="C488">
        <v>486</v>
      </c>
      <c r="D488">
        <v>10</v>
      </c>
      <c r="E488" t="s">
        <v>565</v>
      </c>
      <c r="F488">
        <v>2014</v>
      </c>
      <c r="H488">
        <v>614312</v>
      </c>
      <c r="I488">
        <v>425228</v>
      </c>
      <c r="J488">
        <v>221271</v>
      </c>
      <c r="K488">
        <v>42226</v>
      </c>
      <c r="L488">
        <v>16517</v>
      </c>
      <c r="M488">
        <v>9152</v>
      </c>
      <c r="N488">
        <v>7682</v>
      </c>
      <c r="O488">
        <v>5519</v>
      </c>
      <c r="P488">
        <v>3766</v>
      </c>
      <c r="Q488">
        <v>3197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1348870</v>
      </c>
    </row>
    <row r="489" spans="1:51" hidden="1" x14ac:dyDescent="0.2">
      <c r="A489" t="s">
        <v>27</v>
      </c>
      <c r="C489">
        <v>487</v>
      </c>
      <c r="D489">
        <v>6</v>
      </c>
      <c r="E489" t="s">
        <v>566</v>
      </c>
      <c r="F489">
        <v>2014</v>
      </c>
      <c r="H489">
        <v>748764</v>
      </c>
      <c r="I489">
        <v>401919</v>
      </c>
      <c r="J489">
        <v>158480</v>
      </c>
      <c r="K489">
        <v>27872</v>
      </c>
      <c r="L489">
        <v>17837</v>
      </c>
      <c r="M489">
        <v>7062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1361934</v>
      </c>
    </row>
    <row r="490" spans="1:51" hidden="1" x14ac:dyDescent="0.2">
      <c r="A490" t="s">
        <v>27</v>
      </c>
      <c r="C490">
        <v>488</v>
      </c>
      <c r="D490">
        <v>11</v>
      </c>
      <c r="E490" t="s">
        <v>567</v>
      </c>
      <c r="F490">
        <v>2014</v>
      </c>
      <c r="H490">
        <v>716928</v>
      </c>
      <c r="I490">
        <v>470447</v>
      </c>
      <c r="J490">
        <v>86265</v>
      </c>
      <c r="K490">
        <v>29645</v>
      </c>
      <c r="L490">
        <v>11643</v>
      </c>
      <c r="M490">
        <v>10197</v>
      </c>
      <c r="N490">
        <v>3609</v>
      </c>
      <c r="O490">
        <v>3110</v>
      </c>
      <c r="P490">
        <v>2658</v>
      </c>
      <c r="Q490">
        <v>1682</v>
      </c>
      <c r="R490">
        <v>1500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1337684</v>
      </c>
    </row>
    <row r="491" spans="1:51" hidden="1" x14ac:dyDescent="0.2">
      <c r="A491" t="s">
        <v>27</v>
      </c>
      <c r="C491">
        <v>489</v>
      </c>
      <c r="D491">
        <v>8</v>
      </c>
      <c r="E491" t="s">
        <v>568</v>
      </c>
      <c r="F491">
        <v>2014</v>
      </c>
      <c r="H491">
        <v>676749</v>
      </c>
      <c r="I491">
        <v>447259</v>
      </c>
      <c r="J491">
        <v>111082</v>
      </c>
      <c r="K491">
        <v>27230</v>
      </c>
      <c r="L491">
        <v>9598</v>
      </c>
      <c r="M491">
        <v>8298</v>
      </c>
      <c r="N491">
        <v>7335</v>
      </c>
      <c r="O491">
        <v>3260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1290811</v>
      </c>
    </row>
    <row r="492" spans="1:51" hidden="1" x14ac:dyDescent="0.2">
      <c r="A492" t="s">
        <v>27</v>
      </c>
      <c r="C492">
        <v>490</v>
      </c>
      <c r="D492">
        <v>11</v>
      </c>
      <c r="E492" t="s">
        <v>569</v>
      </c>
      <c r="F492">
        <v>2014</v>
      </c>
      <c r="H492">
        <v>685696</v>
      </c>
      <c r="I492">
        <v>424805</v>
      </c>
      <c r="J492">
        <v>123128</v>
      </c>
      <c r="K492">
        <v>94842</v>
      </c>
      <c r="L492">
        <v>14418</v>
      </c>
      <c r="M492">
        <v>8080</v>
      </c>
      <c r="N492">
        <v>5547</v>
      </c>
      <c r="O492">
        <v>4498</v>
      </c>
      <c r="P492">
        <v>2154</v>
      </c>
      <c r="Q492">
        <v>1983</v>
      </c>
      <c r="R492">
        <v>1758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1366909</v>
      </c>
    </row>
    <row r="493" spans="1:51" hidden="1" x14ac:dyDescent="0.2">
      <c r="A493" t="s">
        <v>27</v>
      </c>
      <c r="C493">
        <v>491</v>
      </c>
      <c r="D493">
        <v>14</v>
      </c>
      <c r="E493" t="s">
        <v>570</v>
      </c>
      <c r="F493">
        <v>2014</v>
      </c>
      <c r="H493">
        <v>674504</v>
      </c>
      <c r="I493">
        <v>326621</v>
      </c>
      <c r="J493">
        <v>122459</v>
      </c>
      <c r="K493">
        <v>40513</v>
      </c>
      <c r="L493">
        <v>22935</v>
      </c>
      <c r="M493">
        <v>15114</v>
      </c>
      <c r="N493">
        <v>8616</v>
      </c>
      <c r="O493">
        <v>8478</v>
      </c>
      <c r="P493">
        <v>8364</v>
      </c>
      <c r="Q493">
        <v>7608</v>
      </c>
      <c r="R493">
        <v>7453</v>
      </c>
      <c r="S493">
        <v>6013</v>
      </c>
      <c r="T493">
        <v>5058</v>
      </c>
      <c r="U493">
        <v>3877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1257613</v>
      </c>
    </row>
    <row r="494" spans="1:51" hidden="1" x14ac:dyDescent="0.2">
      <c r="A494" t="s">
        <v>27</v>
      </c>
      <c r="C494">
        <v>492</v>
      </c>
      <c r="D494">
        <v>11</v>
      </c>
      <c r="E494" t="s">
        <v>571</v>
      </c>
      <c r="F494">
        <v>2014</v>
      </c>
      <c r="H494">
        <v>580441</v>
      </c>
      <c r="I494">
        <v>395313</v>
      </c>
      <c r="J494">
        <v>180071</v>
      </c>
      <c r="K494">
        <v>48914</v>
      </c>
      <c r="L494">
        <v>13616</v>
      </c>
      <c r="M494">
        <v>9800</v>
      </c>
      <c r="N494">
        <v>8640</v>
      </c>
      <c r="O494">
        <v>7881</v>
      </c>
      <c r="P494">
        <v>6070</v>
      </c>
      <c r="Q494">
        <v>5339</v>
      </c>
      <c r="R494">
        <v>4663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1260748</v>
      </c>
    </row>
    <row r="495" spans="1:51" hidden="1" x14ac:dyDescent="0.2">
      <c r="A495" t="s">
        <v>27</v>
      </c>
      <c r="C495">
        <v>493</v>
      </c>
      <c r="D495">
        <v>13</v>
      </c>
      <c r="E495" t="s">
        <v>572</v>
      </c>
      <c r="F495">
        <v>2014</v>
      </c>
      <c r="H495">
        <v>468277</v>
      </c>
      <c r="I495">
        <v>314400</v>
      </c>
      <c r="J495">
        <v>257923</v>
      </c>
      <c r="K495">
        <v>86236</v>
      </c>
      <c r="L495">
        <v>16726</v>
      </c>
      <c r="M495">
        <v>11266</v>
      </c>
      <c r="N495">
        <v>9850</v>
      </c>
      <c r="O495">
        <v>9012</v>
      </c>
      <c r="P495">
        <v>7386</v>
      </c>
      <c r="Q495">
        <v>7168</v>
      </c>
      <c r="R495">
        <v>6774</v>
      </c>
      <c r="S495">
        <v>5584</v>
      </c>
      <c r="T495">
        <v>4073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1204675</v>
      </c>
    </row>
    <row r="496" spans="1:51" hidden="1" x14ac:dyDescent="0.2">
      <c r="A496" t="s">
        <v>27</v>
      </c>
      <c r="C496">
        <v>494</v>
      </c>
      <c r="D496">
        <v>15</v>
      </c>
      <c r="E496" t="s">
        <v>573</v>
      </c>
      <c r="F496">
        <v>2014</v>
      </c>
      <c r="H496">
        <v>483455</v>
      </c>
      <c r="I496">
        <v>384949</v>
      </c>
      <c r="J496">
        <v>251183</v>
      </c>
      <c r="K496">
        <v>23682</v>
      </c>
      <c r="L496">
        <v>22021</v>
      </c>
      <c r="M496">
        <v>10229</v>
      </c>
      <c r="N496">
        <v>9125</v>
      </c>
      <c r="O496">
        <v>9045</v>
      </c>
      <c r="P496">
        <v>7579</v>
      </c>
      <c r="Q496">
        <v>7564</v>
      </c>
      <c r="R496">
        <v>7388</v>
      </c>
      <c r="S496">
        <v>6209</v>
      </c>
      <c r="T496">
        <v>5909</v>
      </c>
      <c r="U496">
        <v>4876</v>
      </c>
      <c r="V496">
        <v>3105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1236319</v>
      </c>
    </row>
    <row r="497" spans="1:51" hidden="1" x14ac:dyDescent="0.2">
      <c r="A497" t="s">
        <v>27</v>
      </c>
      <c r="C497">
        <v>495</v>
      </c>
      <c r="D497">
        <v>10</v>
      </c>
      <c r="E497" t="s">
        <v>574</v>
      </c>
      <c r="F497">
        <v>2014</v>
      </c>
      <c r="H497">
        <v>578870</v>
      </c>
      <c r="I497">
        <v>429185</v>
      </c>
      <c r="J497">
        <v>179530</v>
      </c>
      <c r="K497">
        <v>27054</v>
      </c>
      <c r="L497">
        <v>20928</v>
      </c>
      <c r="M497">
        <v>10127</v>
      </c>
      <c r="N497">
        <v>7816</v>
      </c>
      <c r="O497">
        <v>6854</v>
      </c>
      <c r="P497">
        <v>6820</v>
      </c>
      <c r="Q497">
        <v>4886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1272070</v>
      </c>
    </row>
    <row r="498" spans="1:51" hidden="1" x14ac:dyDescent="0.2">
      <c r="A498" t="s">
        <v>27</v>
      </c>
      <c r="C498">
        <v>496</v>
      </c>
      <c r="D498">
        <v>10</v>
      </c>
      <c r="E498" t="s">
        <v>575</v>
      </c>
      <c r="F498">
        <v>2014</v>
      </c>
      <c r="H498">
        <v>574560</v>
      </c>
      <c r="I498">
        <v>460181</v>
      </c>
      <c r="J498">
        <v>170828</v>
      </c>
      <c r="K498">
        <v>68884</v>
      </c>
      <c r="L498">
        <v>13951</v>
      </c>
      <c r="M498">
        <v>9666</v>
      </c>
      <c r="N498">
        <v>7981</v>
      </c>
      <c r="O498">
        <v>5919</v>
      </c>
      <c r="P498">
        <v>5442</v>
      </c>
      <c r="Q498">
        <v>3410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1320822</v>
      </c>
    </row>
    <row r="499" spans="1:51" hidden="1" x14ac:dyDescent="0.2">
      <c r="A499" t="s">
        <v>27</v>
      </c>
      <c r="C499">
        <v>497</v>
      </c>
      <c r="D499">
        <v>9</v>
      </c>
      <c r="E499" t="s">
        <v>576</v>
      </c>
      <c r="F499">
        <v>2014</v>
      </c>
      <c r="H499">
        <v>554521</v>
      </c>
      <c r="I499">
        <v>447190</v>
      </c>
      <c r="J499">
        <v>237205</v>
      </c>
      <c r="K499">
        <v>44355</v>
      </c>
      <c r="L499">
        <v>16886</v>
      </c>
      <c r="M499">
        <v>11862</v>
      </c>
      <c r="N499">
        <v>7574</v>
      </c>
      <c r="O499">
        <v>6665</v>
      </c>
      <c r="P499">
        <v>4984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1331242</v>
      </c>
    </row>
    <row r="500" spans="1:51" hidden="1" x14ac:dyDescent="0.2">
      <c r="A500" t="s">
        <v>27</v>
      </c>
      <c r="C500">
        <v>498</v>
      </c>
      <c r="D500">
        <v>15</v>
      </c>
      <c r="E500" t="s">
        <v>577</v>
      </c>
      <c r="F500">
        <v>2014</v>
      </c>
      <c r="H500">
        <v>419983</v>
      </c>
      <c r="I500">
        <v>349503</v>
      </c>
      <c r="J500">
        <v>255829</v>
      </c>
      <c r="K500">
        <v>48502</v>
      </c>
      <c r="L500">
        <v>14263</v>
      </c>
      <c r="M500">
        <v>11479</v>
      </c>
      <c r="N500">
        <v>10227</v>
      </c>
      <c r="O500">
        <v>5728</v>
      </c>
      <c r="P500">
        <v>5016</v>
      </c>
      <c r="Q500">
        <v>4947</v>
      </c>
      <c r="R500">
        <v>4663</v>
      </c>
      <c r="S500">
        <v>4256</v>
      </c>
      <c r="T500">
        <v>3115</v>
      </c>
      <c r="U500">
        <v>2450</v>
      </c>
      <c r="V500">
        <v>2434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1142395</v>
      </c>
    </row>
    <row r="501" spans="1:51" hidden="1" x14ac:dyDescent="0.2">
      <c r="A501" t="s">
        <v>27</v>
      </c>
      <c r="C501">
        <v>499</v>
      </c>
      <c r="D501">
        <v>8</v>
      </c>
      <c r="E501" t="s">
        <v>578</v>
      </c>
      <c r="F501">
        <v>2014</v>
      </c>
      <c r="H501">
        <v>630693</v>
      </c>
      <c r="I501">
        <v>394581</v>
      </c>
      <c r="J501">
        <v>197474</v>
      </c>
      <c r="K501">
        <v>46953</v>
      </c>
      <c r="L501">
        <v>17322</v>
      </c>
      <c r="M501">
        <v>6371</v>
      </c>
      <c r="N501">
        <v>5952</v>
      </c>
      <c r="O501">
        <v>5410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1304756</v>
      </c>
    </row>
    <row r="502" spans="1:51" hidden="1" x14ac:dyDescent="0.2">
      <c r="A502" t="s">
        <v>27</v>
      </c>
      <c r="C502">
        <v>500</v>
      </c>
      <c r="D502">
        <v>12</v>
      </c>
      <c r="E502" t="s">
        <v>579</v>
      </c>
      <c r="F502">
        <v>2014</v>
      </c>
      <c r="H502">
        <v>460568</v>
      </c>
      <c r="I502">
        <v>393305</v>
      </c>
      <c r="J502">
        <v>235753</v>
      </c>
      <c r="K502">
        <v>132084</v>
      </c>
      <c r="L502">
        <v>14557</v>
      </c>
      <c r="M502">
        <v>7989</v>
      </c>
      <c r="N502">
        <v>7194</v>
      </c>
      <c r="O502">
        <v>7141</v>
      </c>
      <c r="P502">
        <v>6593</v>
      </c>
      <c r="Q502">
        <v>5448</v>
      </c>
      <c r="R502">
        <v>2982</v>
      </c>
      <c r="S502">
        <v>2205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1275819</v>
      </c>
    </row>
    <row r="503" spans="1:51" hidden="1" x14ac:dyDescent="0.2">
      <c r="A503" t="s">
        <v>29</v>
      </c>
      <c r="C503">
        <v>501</v>
      </c>
      <c r="D503">
        <v>15</v>
      </c>
      <c r="E503" t="s">
        <v>580</v>
      </c>
      <c r="F503">
        <v>2014</v>
      </c>
      <c r="H503">
        <v>585336</v>
      </c>
      <c r="I503">
        <v>438100</v>
      </c>
      <c r="J503">
        <v>31104</v>
      </c>
      <c r="K503">
        <v>21633</v>
      </c>
      <c r="L503">
        <v>15515</v>
      </c>
      <c r="M503">
        <v>14849</v>
      </c>
      <c r="N503">
        <v>14702</v>
      </c>
      <c r="O503">
        <v>11691</v>
      </c>
      <c r="P503">
        <v>11384</v>
      </c>
      <c r="Q503">
        <v>10861</v>
      </c>
      <c r="R503">
        <v>7577</v>
      </c>
      <c r="S503">
        <v>7374</v>
      </c>
      <c r="T503">
        <v>6146</v>
      </c>
      <c r="U503">
        <v>6051</v>
      </c>
      <c r="V503">
        <v>4998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1187321</v>
      </c>
    </row>
    <row r="504" spans="1:51" hidden="1" x14ac:dyDescent="0.2">
      <c r="A504" t="s">
        <v>29</v>
      </c>
      <c r="C504">
        <v>502</v>
      </c>
      <c r="D504">
        <v>13</v>
      </c>
      <c r="E504" t="s">
        <v>581</v>
      </c>
      <c r="F504">
        <v>2014</v>
      </c>
      <c r="H504">
        <v>662478</v>
      </c>
      <c r="I504">
        <v>445728</v>
      </c>
      <c r="J504">
        <v>28480</v>
      </c>
      <c r="K504">
        <v>27152</v>
      </c>
      <c r="L504">
        <v>12860</v>
      </c>
      <c r="M504">
        <v>12133</v>
      </c>
      <c r="N504">
        <v>11227</v>
      </c>
      <c r="O504">
        <v>11098</v>
      </c>
      <c r="P504">
        <v>8747</v>
      </c>
      <c r="Q504">
        <v>8046</v>
      </c>
      <c r="R504">
        <v>7975</v>
      </c>
      <c r="S504">
        <v>5168</v>
      </c>
      <c r="T504">
        <v>5094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1246186</v>
      </c>
    </row>
    <row r="505" spans="1:51" hidden="1" x14ac:dyDescent="0.2">
      <c r="A505" t="s">
        <v>29</v>
      </c>
      <c r="C505">
        <v>503</v>
      </c>
      <c r="D505">
        <v>16</v>
      </c>
      <c r="E505" t="s">
        <v>582</v>
      </c>
      <c r="F505">
        <v>2014</v>
      </c>
      <c r="H505">
        <v>518909</v>
      </c>
      <c r="I505">
        <v>343948</v>
      </c>
      <c r="J505">
        <v>125617</v>
      </c>
      <c r="K505">
        <v>18438</v>
      </c>
      <c r="L505">
        <v>16862</v>
      </c>
      <c r="M505">
        <v>8982</v>
      </c>
      <c r="N505">
        <v>7535</v>
      </c>
      <c r="O505">
        <v>6275</v>
      </c>
      <c r="P505">
        <v>5309</v>
      </c>
      <c r="Q505">
        <v>3977</v>
      </c>
      <c r="R505">
        <v>3208</v>
      </c>
      <c r="S505">
        <v>2962</v>
      </c>
      <c r="T505">
        <v>2890</v>
      </c>
      <c r="U505">
        <v>2859</v>
      </c>
      <c r="V505">
        <v>2852</v>
      </c>
      <c r="W505">
        <v>2724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1073347</v>
      </c>
    </row>
    <row r="506" spans="1:51" hidden="1" x14ac:dyDescent="0.2">
      <c r="A506" t="s">
        <v>29</v>
      </c>
      <c r="C506">
        <v>504</v>
      </c>
      <c r="D506">
        <v>25</v>
      </c>
      <c r="E506" t="s">
        <v>583</v>
      </c>
      <c r="F506">
        <v>2014</v>
      </c>
      <c r="H506">
        <v>439002</v>
      </c>
      <c r="I506">
        <v>434737</v>
      </c>
      <c r="J506">
        <v>52753</v>
      </c>
      <c r="K506">
        <v>18459</v>
      </c>
      <c r="L506">
        <v>14594</v>
      </c>
      <c r="M506">
        <v>14198</v>
      </c>
      <c r="N506">
        <v>9495</v>
      </c>
      <c r="O506">
        <v>8570</v>
      </c>
      <c r="P506">
        <v>6919</v>
      </c>
      <c r="Q506">
        <v>6461</v>
      </c>
      <c r="R506">
        <v>5657</v>
      </c>
      <c r="S506">
        <v>5238</v>
      </c>
      <c r="T506">
        <v>4265</v>
      </c>
      <c r="U506">
        <v>4111</v>
      </c>
      <c r="V506">
        <v>3676</v>
      </c>
      <c r="W506">
        <v>2768</v>
      </c>
      <c r="X506">
        <v>2728</v>
      </c>
      <c r="Y506">
        <v>2700</v>
      </c>
      <c r="Z506">
        <v>2679</v>
      </c>
      <c r="AA506">
        <v>2671</v>
      </c>
      <c r="AB506">
        <v>2478</v>
      </c>
      <c r="AC506">
        <v>2422</v>
      </c>
      <c r="AD506">
        <v>2333</v>
      </c>
      <c r="AE506">
        <v>1998</v>
      </c>
      <c r="AF506">
        <v>1808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1052720</v>
      </c>
    </row>
    <row r="507" spans="1:51" hidden="1" x14ac:dyDescent="0.2">
      <c r="A507" t="s">
        <v>29</v>
      </c>
      <c r="C507">
        <v>505</v>
      </c>
      <c r="D507">
        <v>26</v>
      </c>
      <c r="E507" t="s">
        <v>584</v>
      </c>
      <c r="F507">
        <v>2014</v>
      </c>
      <c r="H507">
        <v>561387</v>
      </c>
      <c r="I507">
        <v>384951</v>
      </c>
      <c r="J507">
        <v>26340</v>
      </c>
      <c r="K507">
        <v>20733</v>
      </c>
      <c r="L507">
        <v>14918</v>
      </c>
      <c r="M507">
        <v>13339</v>
      </c>
      <c r="N507">
        <v>12024</v>
      </c>
      <c r="O507">
        <v>7566</v>
      </c>
      <c r="P507">
        <v>6911</v>
      </c>
      <c r="Q507">
        <v>5385</v>
      </c>
      <c r="R507">
        <v>4294</v>
      </c>
      <c r="S507">
        <v>4279</v>
      </c>
      <c r="T507">
        <v>4034</v>
      </c>
      <c r="U507">
        <v>2988</v>
      </c>
      <c r="V507">
        <v>2369</v>
      </c>
      <c r="W507">
        <v>2244</v>
      </c>
      <c r="X507">
        <v>2237</v>
      </c>
      <c r="Y507">
        <v>2059</v>
      </c>
      <c r="Z507">
        <v>1836</v>
      </c>
      <c r="AA507">
        <v>1776</v>
      </c>
      <c r="AB507">
        <v>1706</v>
      </c>
      <c r="AC507">
        <v>1661</v>
      </c>
      <c r="AD507">
        <v>1458</v>
      </c>
      <c r="AE507">
        <v>1287</v>
      </c>
      <c r="AF507">
        <v>910</v>
      </c>
      <c r="AG507">
        <v>0</v>
      </c>
      <c r="AH507">
        <v>855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1089547</v>
      </c>
    </row>
    <row r="508" spans="1:51" hidden="1" x14ac:dyDescent="0.2">
      <c r="A508" t="s">
        <v>29</v>
      </c>
      <c r="C508">
        <v>506</v>
      </c>
      <c r="D508">
        <v>14</v>
      </c>
      <c r="E508" t="s">
        <v>585</v>
      </c>
      <c r="F508">
        <v>2014</v>
      </c>
      <c r="H508">
        <v>643473</v>
      </c>
      <c r="I508">
        <v>407562</v>
      </c>
      <c r="J508">
        <v>32384</v>
      </c>
      <c r="K508">
        <v>20458</v>
      </c>
      <c r="L508">
        <v>11704</v>
      </c>
      <c r="M508">
        <v>11478</v>
      </c>
      <c r="N508">
        <v>10891</v>
      </c>
      <c r="O508">
        <v>10733</v>
      </c>
      <c r="P508">
        <v>6007</v>
      </c>
      <c r="Q508">
        <v>5941</v>
      </c>
      <c r="R508">
        <v>5546</v>
      </c>
      <c r="S508">
        <v>5255</v>
      </c>
      <c r="T508">
        <v>3636</v>
      </c>
      <c r="U508">
        <v>3228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1178296</v>
      </c>
    </row>
    <row r="509" spans="1:51" hidden="1" x14ac:dyDescent="0.2">
      <c r="A509" t="s">
        <v>29</v>
      </c>
      <c r="C509">
        <v>507</v>
      </c>
      <c r="D509">
        <v>27</v>
      </c>
      <c r="E509" t="s">
        <v>586</v>
      </c>
      <c r="F509">
        <v>2014</v>
      </c>
      <c r="H509">
        <v>570687</v>
      </c>
      <c r="I509">
        <v>553839</v>
      </c>
      <c r="J509">
        <v>17455</v>
      </c>
      <c r="K509">
        <v>16529</v>
      </c>
      <c r="L509">
        <v>15600</v>
      </c>
      <c r="M509">
        <v>11907</v>
      </c>
      <c r="N509">
        <v>10371</v>
      </c>
      <c r="O509">
        <v>8120</v>
      </c>
      <c r="P509">
        <v>7098</v>
      </c>
      <c r="Q509">
        <v>5340</v>
      </c>
      <c r="R509">
        <v>5104</v>
      </c>
      <c r="S509">
        <v>4711</v>
      </c>
      <c r="T509">
        <v>4537</v>
      </c>
      <c r="U509">
        <v>2904</v>
      </c>
      <c r="V509">
        <v>2901</v>
      </c>
      <c r="W509">
        <v>2736</v>
      </c>
      <c r="X509">
        <v>2560</v>
      </c>
      <c r="Y509">
        <v>2301</v>
      </c>
      <c r="Z509">
        <v>2284</v>
      </c>
      <c r="AA509">
        <v>2159</v>
      </c>
      <c r="AB509">
        <v>2114</v>
      </c>
      <c r="AC509">
        <v>1427</v>
      </c>
      <c r="AD509">
        <v>1413</v>
      </c>
      <c r="AE509">
        <v>1225</v>
      </c>
      <c r="AF509">
        <v>1150</v>
      </c>
      <c r="AG509">
        <v>1011</v>
      </c>
      <c r="AH509">
        <v>859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1258342</v>
      </c>
    </row>
    <row r="510" spans="1:51" hidden="1" x14ac:dyDescent="0.2">
      <c r="A510" t="s">
        <v>29</v>
      </c>
      <c r="C510">
        <v>508</v>
      </c>
      <c r="D510">
        <v>35</v>
      </c>
      <c r="E510" t="s">
        <v>587</v>
      </c>
      <c r="F510">
        <v>2014</v>
      </c>
      <c r="H510">
        <v>654922</v>
      </c>
      <c r="I510">
        <v>483276</v>
      </c>
      <c r="J510">
        <v>15139</v>
      </c>
      <c r="K510">
        <v>13147</v>
      </c>
      <c r="L510">
        <v>12699</v>
      </c>
      <c r="M510">
        <v>6750</v>
      </c>
      <c r="N510">
        <v>6250</v>
      </c>
      <c r="O510">
        <v>5796</v>
      </c>
      <c r="P510">
        <v>4963</v>
      </c>
      <c r="Q510">
        <v>4316</v>
      </c>
      <c r="R510">
        <v>3527</v>
      </c>
      <c r="S510">
        <v>3398</v>
      </c>
      <c r="T510">
        <v>2726</v>
      </c>
      <c r="U510">
        <v>2700</v>
      </c>
      <c r="V510">
        <v>2619</v>
      </c>
      <c r="W510">
        <v>2521</v>
      </c>
      <c r="X510">
        <v>2215</v>
      </c>
      <c r="Y510">
        <v>2184</v>
      </c>
      <c r="Z510">
        <v>1657</v>
      </c>
      <c r="AA510">
        <v>1596</v>
      </c>
      <c r="AB510">
        <v>1562</v>
      </c>
      <c r="AC510">
        <v>1527</v>
      </c>
      <c r="AD510">
        <v>1507</v>
      </c>
      <c r="AE510">
        <v>1405</v>
      </c>
      <c r="AF510">
        <v>1365</v>
      </c>
      <c r="AG510">
        <v>1329</v>
      </c>
      <c r="AH510">
        <v>1143</v>
      </c>
      <c r="AI510">
        <v>1086</v>
      </c>
      <c r="AJ510">
        <v>1026</v>
      </c>
      <c r="AK510">
        <v>962</v>
      </c>
      <c r="AL510">
        <v>937</v>
      </c>
      <c r="AM510">
        <v>922</v>
      </c>
      <c r="AN510">
        <v>817</v>
      </c>
      <c r="AO510">
        <v>741</v>
      </c>
      <c r="AP510">
        <v>729</v>
      </c>
      <c r="AQ510">
        <v>724</v>
      </c>
      <c r="AR510">
        <v>662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1250845</v>
      </c>
    </row>
    <row r="511" spans="1:51" hidden="1" x14ac:dyDescent="0.2">
      <c r="A511" t="s">
        <v>29</v>
      </c>
      <c r="C511">
        <v>509</v>
      </c>
      <c r="D511">
        <v>28</v>
      </c>
      <c r="E511" t="s">
        <v>588</v>
      </c>
      <c r="F511">
        <v>2014</v>
      </c>
      <c r="H511">
        <v>503514</v>
      </c>
      <c r="I511">
        <v>502297</v>
      </c>
      <c r="J511">
        <v>20255</v>
      </c>
      <c r="K511">
        <v>12308</v>
      </c>
      <c r="L511">
        <v>10797</v>
      </c>
      <c r="M511">
        <v>10600</v>
      </c>
      <c r="N511">
        <v>9955</v>
      </c>
      <c r="O511">
        <v>7091</v>
      </c>
      <c r="P511">
        <v>5868</v>
      </c>
      <c r="Q511">
        <v>5524</v>
      </c>
      <c r="R511">
        <v>5497</v>
      </c>
      <c r="S511">
        <v>4718</v>
      </c>
      <c r="T511">
        <v>3911</v>
      </c>
      <c r="U511">
        <v>3732</v>
      </c>
      <c r="V511">
        <v>3670</v>
      </c>
      <c r="W511">
        <v>3090</v>
      </c>
      <c r="X511">
        <v>2409</v>
      </c>
      <c r="Y511">
        <v>2268</v>
      </c>
      <c r="Z511">
        <v>2167</v>
      </c>
      <c r="AA511">
        <v>1665</v>
      </c>
      <c r="AB511">
        <v>1628</v>
      </c>
      <c r="AC511">
        <v>1523</v>
      </c>
      <c r="AD511">
        <v>1395</v>
      </c>
      <c r="AE511">
        <v>1338</v>
      </c>
      <c r="AF511">
        <v>1279</v>
      </c>
      <c r="AG511">
        <v>1053</v>
      </c>
      <c r="AH511">
        <v>904</v>
      </c>
      <c r="AI511">
        <v>753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1131209</v>
      </c>
    </row>
    <row r="512" spans="1:51" hidden="1" x14ac:dyDescent="0.2">
      <c r="A512" t="s">
        <v>29</v>
      </c>
      <c r="C512">
        <v>510</v>
      </c>
      <c r="D512">
        <v>9</v>
      </c>
      <c r="E512" t="s">
        <v>589</v>
      </c>
      <c r="F512">
        <v>2014</v>
      </c>
      <c r="H512">
        <v>385829</v>
      </c>
      <c r="I512">
        <v>261470</v>
      </c>
      <c r="J512">
        <v>38772</v>
      </c>
      <c r="K512">
        <v>33883</v>
      </c>
      <c r="L512">
        <v>16903</v>
      </c>
      <c r="M512">
        <v>9774</v>
      </c>
      <c r="N512">
        <v>8966</v>
      </c>
      <c r="O512">
        <v>8136</v>
      </c>
      <c r="P512">
        <v>6180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769913</v>
      </c>
    </row>
    <row r="513" spans="1:51" hidden="1" x14ac:dyDescent="0.2">
      <c r="A513" t="s">
        <v>29</v>
      </c>
      <c r="C513">
        <v>511</v>
      </c>
      <c r="D513">
        <v>11</v>
      </c>
      <c r="E513" t="s">
        <v>590</v>
      </c>
      <c r="F513">
        <v>2014</v>
      </c>
      <c r="H513">
        <v>465215</v>
      </c>
      <c r="I513">
        <v>430057</v>
      </c>
      <c r="J513">
        <v>31917</v>
      </c>
      <c r="K513">
        <v>23482</v>
      </c>
      <c r="L513">
        <v>14139</v>
      </c>
      <c r="M513">
        <v>10606</v>
      </c>
      <c r="N513">
        <v>9391</v>
      </c>
      <c r="O513">
        <v>8969</v>
      </c>
      <c r="P513">
        <v>8963</v>
      </c>
      <c r="Q513">
        <v>7586</v>
      </c>
      <c r="R513">
        <v>6618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1016943</v>
      </c>
    </row>
    <row r="514" spans="1:51" hidden="1" x14ac:dyDescent="0.2">
      <c r="A514" t="s">
        <v>30</v>
      </c>
      <c r="C514">
        <v>512</v>
      </c>
      <c r="D514">
        <v>12</v>
      </c>
      <c r="E514" t="s">
        <v>591</v>
      </c>
      <c r="F514">
        <v>2014</v>
      </c>
      <c r="H514">
        <v>379507</v>
      </c>
      <c r="I514">
        <v>338170</v>
      </c>
      <c r="J514">
        <v>97374</v>
      </c>
      <c r="K514">
        <v>58034</v>
      </c>
      <c r="L514">
        <v>19875</v>
      </c>
      <c r="M514">
        <v>16354</v>
      </c>
      <c r="N514">
        <v>8686</v>
      </c>
      <c r="O514">
        <v>7906</v>
      </c>
      <c r="P514">
        <v>7661</v>
      </c>
      <c r="Q514">
        <v>6761</v>
      </c>
      <c r="R514">
        <v>6460</v>
      </c>
      <c r="S514">
        <v>4775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951563</v>
      </c>
    </row>
    <row r="515" spans="1:51" hidden="1" x14ac:dyDescent="0.2">
      <c r="A515" t="s">
        <v>30</v>
      </c>
      <c r="C515">
        <v>513</v>
      </c>
      <c r="D515">
        <v>15</v>
      </c>
      <c r="E515" t="s">
        <v>592</v>
      </c>
      <c r="F515">
        <v>2014</v>
      </c>
      <c r="H515">
        <v>335815</v>
      </c>
      <c r="I515">
        <v>296785</v>
      </c>
      <c r="J515">
        <v>158122</v>
      </c>
      <c r="K515">
        <v>26442</v>
      </c>
      <c r="L515">
        <v>18325</v>
      </c>
      <c r="M515">
        <v>10347</v>
      </c>
      <c r="N515">
        <v>10283</v>
      </c>
      <c r="O515">
        <v>9436</v>
      </c>
      <c r="P515">
        <v>9059</v>
      </c>
      <c r="Q515">
        <v>6284</v>
      </c>
      <c r="R515">
        <v>5813</v>
      </c>
      <c r="S515">
        <v>4567</v>
      </c>
      <c r="T515">
        <v>4310</v>
      </c>
      <c r="U515">
        <v>3739</v>
      </c>
      <c r="V515">
        <v>3733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903060</v>
      </c>
    </row>
    <row r="516" spans="1:51" hidden="1" x14ac:dyDescent="0.2">
      <c r="A516" t="s">
        <v>30</v>
      </c>
      <c r="C516">
        <v>514</v>
      </c>
      <c r="D516">
        <v>17</v>
      </c>
      <c r="E516" t="s">
        <v>593</v>
      </c>
      <c r="F516">
        <v>2014</v>
      </c>
      <c r="H516">
        <v>380500</v>
      </c>
      <c r="I516">
        <v>319818</v>
      </c>
      <c r="J516">
        <v>193506</v>
      </c>
      <c r="K516">
        <v>28246</v>
      </c>
      <c r="L516">
        <v>22349</v>
      </c>
      <c r="M516">
        <v>20871</v>
      </c>
      <c r="N516">
        <v>14034</v>
      </c>
      <c r="O516">
        <v>12410</v>
      </c>
      <c r="P516">
        <v>10998</v>
      </c>
      <c r="Q516">
        <v>9059</v>
      </c>
      <c r="R516">
        <v>7447</v>
      </c>
      <c r="S516">
        <v>7278</v>
      </c>
      <c r="T516">
        <v>5132</v>
      </c>
      <c r="U516">
        <v>5080</v>
      </c>
      <c r="V516">
        <v>4466</v>
      </c>
      <c r="W516">
        <v>4344</v>
      </c>
      <c r="X516">
        <v>3904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1049442</v>
      </c>
    </row>
    <row r="517" spans="1:51" hidden="1" x14ac:dyDescent="0.2">
      <c r="A517" t="s">
        <v>30</v>
      </c>
      <c r="C517">
        <v>515</v>
      </c>
      <c r="D517">
        <v>21</v>
      </c>
      <c r="E517" t="s">
        <v>594</v>
      </c>
      <c r="F517">
        <v>2014</v>
      </c>
      <c r="H517">
        <v>295862</v>
      </c>
      <c r="I517">
        <v>117836</v>
      </c>
      <c r="J517">
        <v>104176</v>
      </c>
      <c r="K517">
        <v>35674</v>
      </c>
      <c r="L517">
        <v>29754</v>
      </c>
      <c r="M517">
        <v>21261</v>
      </c>
      <c r="N517">
        <v>17980</v>
      </c>
      <c r="O517">
        <v>14929</v>
      </c>
      <c r="P517">
        <v>10771</v>
      </c>
      <c r="Q517">
        <v>8341</v>
      </c>
      <c r="R517">
        <v>7841</v>
      </c>
      <c r="S517">
        <v>6845</v>
      </c>
      <c r="T517">
        <v>5843</v>
      </c>
      <c r="U517">
        <v>5791</v>
      </c>
      <c r="V517">
        <v>5783</v>
      </c>
      <c r="W517">
        <v>5743</v>
      </c>
      <c r="X517">
        <v>4725</v>
      </c>
      <c r="Y517">
        <v>4647</v>
      </c>
      <c r="Z517">
        <v>4209</v>
      </c>
      <c r="AA517">
        <v>2944</v>
      </c>
      <c r="AB517">
        <v>2016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712971</v>
      </c>
    </row>
    <row r="518" spans="1:51" hidden="1" x14ac:dyDescent="0.2">
      <c r="A518" t="s">
        <v>30</v>
      </c>
      <c r="C518">
        <v>516</v>
      </c>
      <c r="D518">
        <v>21</v>
      </c>
      <c r="E518" t="s">
        <v>595</v>
      </c>
      <c r="F518">
        <v>2014</v>
      </c>
      <c r="H518">
        <v>365410</v>
      </c>
      <c r="I518">
        <v>266756</v>
      </c>
      <c r="J518">
        <v>160638</v>
      </c>
      <c r="K518">
        <v>60330</v>
      </c>
      <c r="L518">
        <v>25522</v>
      </c>
      <c r="M518">
        <v>20669</v>
      </c>
      <c r="N518">
        <v>18727</v>
      </c>
      <c r="O518">
        <v>12785</v>
      </c>
      <c r="P518">
        <v>12459</v>
      </c>
      <c r="Q518">
        <v>11880</v>
      </c>
      <c r="R518">
        <v>11117</v>
      </c>
      <c r="S518">
        <v>7838</v>
      </c>
      <c r="T518">
        <v>6992</v>
      </c>
      <c r="U518">
        <v>6966</v>
      </c>
      <c r="V518">
        <v>6712</v>
      </c>
      <c r="W518">
        <v>6334</v>
      </c>
      <c r="X518">
        <v>6141</v>
      </c>
      <c r="Y518">
        <v>5996</v>
      </c>
      <c r="Z518">
        <v>4516</v>
      </c>
      <c r="AA518">
        <v>4245</v>
      </c>
      <c r="AB518">
        <v>2873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1024906</v>
      </c>
    </row>
    <row r="519" spans="1:51" hidden="1" x14ac:dyDescent="0.2">
      <c r="A519" t="s">
        <v>30</v>
      </c>
      <c r="C519">
        <v>517</v>
      </c>
      <c r="D519">
        <v>18</v>
      </c>
      <c r="E519" t="s">
        <v>596</v>
      </c>
      <c r="F519">
        <v>2014</v>
      </c>
      <c r="H519">
        <v>391913</v>
      </c>
      <c r="I519">
        <v>351600</v>
      </c>
      <c r="J519">
        <v>57380</v>
      </c>
      <c r="K519">
        <v>55531</v>
      </c>
      <c r="L519">
        <v>40010</v>
      </c>
      <c r="M519">
        <v>13132</v>
      </c>
      <c r="N519">
        <v>11355</v>
      </c>
      <c r="O519">
        <v>7071</v>
      </c>
      <c r="P519">
        <v>6406</v>
      </c>
      <c r="Q519">
        <v>6341</v>
      </c>
      <c r="R519">
        <v>5072</v>
      </c>
      <c r="S519">
        <v>4879</v>
      </c>
      <c r="T519">
        <v>4325</v>
      </c>
      <c r="U519">
        <v>3660</v>
      </c>
      <c r="V519">
        <v>3512</v>
      </c>
      <c r="W519">
        <v>2988</v>
      </c>
      <c r="X519">
        <v>2825</v>
      </c>
      <c r="Y519">
        <v>1997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969997</v>
      </c>
    </row>
    <row r="520" spans="1:51" hidden="1" x14ac:dyDescent="0.2">
      <c r="A520" t="s">
        <v>30</v>
      </c>
      <c r="C520">
        <v>518</v>
      </c>
      <c r="D520">
        <v>32</v>
      </c>
      <c r="E520" t="s">
        <v>597</v>
      </c>
      <c r="F520">
        <v>2014</v>
      </c>
      <c r="H520">
        <v>543491</v>
      </c>
      <c r="I520">
        <v>250537</v>
      </c>
      <c r="J520">
        <v>110185</v>
      </c>
      <c r="K520">
        <v>90926</v>
      </c>
      <c r="L520">
        <v>29937</v>
      </c>
      <c r="M520">
        <v>21277</v>
      </c>
      <c r="N520">
        <v>13200</v>
      </c>
      <c r="O520">
        <v>8948</v>
      </c>
      <c r="P520">
        <v>8580</v>
      </c>
      <c r="Q520">
        <v>8455</v>
      </c>
      <c r="R520">
        <v>7675</v>
      </c>
      <c r="S520">
        <v>5441</v>
      </c>
      <c r="T520">
        <v>4531</v>
      </c>
      <c r="U520">
        <v>4169</v>
      </c>
      <c r="V520">
        <v>3814</v>
      </c>
      <c r="W520">
        <v>3413</v>
      </c>
      <c r="X520">
        <v>3120</v>
      </c>
      <c r="Y520">
        <v>3094</v>
      </c>
      <c r="Z520">
        <v>3000</v>
      </c>
      <c r="AA520">
        <v>2518</v>
      </c>
      <c r="AB520">
        <v>2104</v>
      </c>
      <c r="AC520">
        <v>2052</v>
      </c>
      <c r="AD520">
        <v>1888</v>
      </c>
      <c r="AE520">
        <v>1537</v>
      </c>
      <c r="AF520">
        <v>1516</v>
      </c>
      <c r="AG520">
        <v>1486</v>
      </c>
      <c r="AH520">
        <v>1457</v>
      </c>
      <c r="AI520">
        <v>1359</v>
      </c>
      <c r="AJ520">
        <v>1226</v>
      </c>
      <c r="AK520">
        <v>1190</v>
      </c>
      <c r="AL520">
        <v>965</v>
      </c>
      <c r="AM520">
        <v>811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1143902</v>
      </c>
    </row>
    <row r="521" spans="1:51" hidden="1" x14ac:dyDescent="0.2">
      <c r="A521" t="s">
        <v>30</v>
      </c>
      <c r="C521">
        <v>519</v>
      </c>
      <c r="D521">
        <v>29</v>
      </c>
      <c r="E521" t="s">
        <v>598</v>
      </c>
      <c r="F521">
        <v>2014</v>
      </c>
      <c r="H521">
        <v>448729</v>
      </c>
      <c r="I521">
        <v>249426</v>
      </c>
      <c r="J521">
        <v>142560</v>
      </c>
      <c r="K521">
        <v>67712</v>
      </c>
      <c r="L521">
        <v>46126</v>
      </c>
      <c r="M521">
        <v>14898</v>
      </c>
      <c r="N521">
        <v>10178</v>
      </c>
      <c r="O521">
        <v>8497</v>
      </c>
      <c r="P521">
        <v>6900</v>
      </c>
      <c r="Q521">
        <v>4696</v>
      </c>
      <c r="R521">
        <v>4409</v>
      </c>
      <c r="S521">
        <v>4240</v>
      </c>
      <c r="T521">
        <v>4190</v>
      </c>
      <c r="U521">
        <v>4085</v>
      </c>
      <c r="V521">
        <v>3877</v>
      </c>
      <c r="W521">
        <v>3823</v>
      </c>
      <c r="X521">
        <v>3411</v>
      </c>
      <c r="Y521">
        <v>2889</v>
      </c>
      <c r="Z521">
        <v>2502</v>
      </c>
      <c r="AA521">
        <v>2195</v>
      </c>
      <c r="AB521">
        <v>2130</v>
      </c>
      <c r="AC521">
        <v>2083</v>
      </c>
      <c r="AD521">
        <v>1987</v>
      </c>
      <c r="AE521">
        <v>1605</v>
      </c>
      <c r="AF521">
        <v>1504</v>
      </c>
      <c r="AG521">
        <v>1366</v>
      </c>
      <c r="AH521">
        <v>1296</v>
      </c>
      <c r="AI521">
        <v>1250</v>
      </c>
      <c r="AJ521">
        <v>1219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1049783</v>
      </c>
    </row>
    <row r="522" spans="1:51" hidden="1" x14ac:dyDescent="0.2">
      <c r="A522" t="s">
        <v>30</v>
      </c>
      <c r="C522">
        <v>520</v>
      </c>
      <c r="D522">
        <v>16</v>
      </c>
      <c r="E522" t="s">
        <v>599</v>
      </c>
      <c r="F522">
        <v>2014</v>
      </c>
      <c r="H522">
        <v>464153</v>
      </c>
      <c r="I522">
        <v>364277</v>
      </c>
      <c r="J522">
        <v>138109</v>
      </c>
      <c r="K522">
        <v>15629</v>
      </c>
      <c r="L522">
        <v>12632</v>
      </c>
      <c r="M522">
        <v>7145</v>
      </c>
      <c r="N522">
        <v>5655</v>
      </c>
      <c r="O522">
        <v>5406</v>
      </c>
      <c r="P522">
        <v>5378</v>
      </c>
      <c r="Q522">
        <v>5300</v>
      </c>
      <c r="R522">
        <v>4822</v>
      </c>
      <c r="S522">
        <v>4606</v>
      </c>
      <c r="T522">
        <v>4485</v>
      </c>
      <c r="U522">
        <v>4429</v>
      </c>
      <c r="V522">
        <v>3700</v>
      </c>
      <c r="W522">
        <v>3414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1049140</v>
      </c>
    </row>
    <row r="523" spans="1:51" hidden="1" x14ac:dyDescent="0.2">
      <c r="A523" t="s">
        <v>30</v>
      </c>
      <c r="C523">
        <v>521</v>
      </c>
      <c r="D523">
        <v>13</v>
      </c>
      <c r="E523" t="s">
        <v>600</v>
      </c>
      <c r="F523">
        <v>2014</v>
      </c>
      <c r="H523">
        <v>303131</v>
      </c>
      <c r="I523">
        <v>215607</v>
      </c>
      <c r="J523">
        <v>111796</v>
      </c>
      <c r="K523">
        <v>35681</v>
      </c>
      <c r="L523">
        <v>27037</v>
      </c>
      <c r="M523">
        <v>25547</v>
      </c>
      <c r="N523">
        <v>16952</v>
      </c>
      <c r="O523">
        <v>12877</v>
      </c>
      <c r="P523">
        <v>11507</v>
      </c>
      <c r="Q523">
        <v>9303</v>
      </c>
      <c r="R523">
        <v>8895</v>
      </c>
      <c r="S523">
        <v>8607</v>
      </c>
      <c r="T523">
        <v>8346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795286</v>
      </c>
    </row>
    <row r="524" spans="1:51" hidden="1" x14ac:dyDescent="0.2">
      <c r="A524" t="s">
        <v>30</v>
      </c>
      <c r="C524">
        <v>522</v>
      </c>
      <c r="D524">
        <v>15</v>
      </c>
      <c r="E524" t="s">
        <v>601</v>
      </c>
      <c r="F524">
        <v>2014</v>
      </c>
      <c r="H524">
        <v>269185</v>
      </c>
      <c r="I524">
        <v>176937</v>
      </c>
      <c r="J524">
        <v>147017</v>
      </c>
      <c r="K524">
        <v>27158</v>
      </c>
      <c r="L524">
        <v>24514</v>
      </c>
      <c r="M524">
        <v>23816</v>
      </c>
      <c r="N524">
        <v>13566</v>
      </c>
      <c r="O524">
        <v>11822</v>
      </c>
      <c r="P524">
        <v>11364</v>
      </c>
      <c r="Q524">
        <v>6596</v>
      </c>
      <c r="R524">
        <v>6407</v>
      </c>
      <c r="S524">
        <v>4958</v>
      </c>
      <c r="T524">
        <v>4841</v>
      </c>
      <c r="U524">
        <v>4425</v>
      </c>
      <c r="V524">
        <v>4349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736955</v>
      </c>
    </row>
    <row r="525" spans="1:51" hidden="1" x14ac:dyDescent="0.2">
      <c r="A525" t="s">
        <v>30</v>
      </c>
      <c r="C525">
        <v>523</v>
      </c>
      <c r="D525">
        <v>10</v>
      </c>
      <c r="E525" t="s">
        <v>602</v>
      </c>
      <c r="F525">
        <v>2014</v>
      </c>
      <c r="H525">
        <v>226666</v>
      </c>
      <c r="I525">
        <v>220177</v>
      </c>
      <c r="J525">
        <v>118355</v>
      </c>
      <c r="K525">
        <v>26109</v>
      </c>
      <c r="L525">
        <v>16764</v>
      </c>
      <c r="M525">
        <v>13252</v>
      </c>
      <c r="N525">
        <v>11794</v>
      </c>
      <c r="O525">
        <v>6436</v>
      </c>
      <c r="P525">
        <v>6037</v>
      </c>
      <c r="Q525">
        <v>5870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651460</v>
      </c>
    </row>
    <row r="526" spans="1:51" hidden="1" x14ac:dyDescent="0.2">
      <c r="A526" t="s">
        <v>30</v>
      </c>
      <c r="C526">
        <v>524</v>
      </c>
      <c r="D526">
        <v>14</v>
      </c>
      <c r="E526" t="s">
        <v>603</v>
      </c>
      <c r="F526">
        <v>2014</v>
      </c>
      <c r="H526">
        <v>476513</v>
      </c>
      <c r="I526">
        <v>212571</v>
      </c>
      <c r="J526">
        <v>156832</v>
      </c>
      <c r="K526">
        <v>37043</v>
      </c>
      <c r="L526">
        <v>20481</v>
      </c>
      <c r="M526">
        <v>18287</v>
      </c>
      <c r="N526">
        <v>9592</v>
      </c>
      <c r="O526">
        <v>9145</v>
      </c>
      <c r="P526">
        <v>8386</v>
      </c>
      <c r="Q526">
        <v>7538</v>
      </c>
      <c r="R526">
        <v>5879</v>
      </c>
      <c r="S526">
        <v>5648</v>
      </c>
      <c r="T526">
        <v>4976</v>
      </c>
      <c r="U526">
        <v>4432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977323</v>
      </c>
    </row>
    <row r="527" spans="1:51" hidden="1" x14ac:dyDescent="0.2">
      <c r="A527" t="s">
        <v>30</v>
      </c>
      <c r="C527">
        <v>525</v>
      </c>
      <c r="D527">
        <v>21</v>
      </c>
      <c r="E527" t="s">
        <v>604</v>
      </c>
      <c r="F527">
        <v>2014</v>
      </c>
      <c r="H527">
        <v>406931</v>
      </c>
      <c r="I527">
        <v>247803</v>
      </c>
      <c r="J527">
        <v>156186</v>
      </c>
      <c r="K527">
        <v>30408</v>
      </c>
      <c r="L527">
        <v>30326</v>
      </c>
      <c r="M527">
        <v>14555</v>
      </c>
      <c r="N527">
        <v>8453</v>
      </c>
      <c r="O527">
        <v>8360</v>
      </c>
      <c r="P527">
        <v>8159</v>
      </c>
      <c r="Q527">
        <v>8085</v>
      </c>
      <c r="R527">
        <v>7140</v>
      </c>
      <c r="S527">
        <v>6827</v>
      </c>
      <c r="T527">
        <v>5152</v>
      </c>
      <c r="U527">
        <v>4481</v>
      </c>
      <c r="V527">
        <v>4423</v>
      </c>
      <c r="W527">
        <v>3752</v>
      </c>
      <c r="X527">
        <v>3540</v>
      </c>
      <c r="Y527">
        <v>3365</v>
      </c>
      <c r="Z527">
        <v>3189</v>
      </c>
      <c r="AA527">
        <v>3076</v>
      </c>
      <c r="AB527">
        <v>2941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967152</v>
      </c>
    </row>
    <row r="528" spans="1:51" hidden="1" x14ac:dyDescent="0.2">
      <c r="A528" t="s">
        <v>31</v>
      </c>
      <c r="C528">
        <v>526</v>
      </c>
      <c r="D528">
        <v>17</v>
      </c>
      <c r="E528" t="s">
        <v>605</v>
      </c>
      <c r="F528">
        <v>2014</v>
      </c>
      <c r="H528">
        <v>446733</v>
      </c>
      <c r="I528">
        <v>254230</v>
      </c>
      <c r="J528">
        <v>24043</v>
      </c>
      <c r="K528">
        <v>11538</v>
      </c>
      <c r="L528">
        <v>10762</v>
      </c>
      <c r="M528">
        <v>6672</v>
      </c>
      <c r="N528">
        <v>6577</v>
      </c>
      <c r="O528">
        <v>2302</v>
      </c>
      <c r="P528">
        <v>2007</v>
      </c>
      <c r="Q528">
        <v>1958</v>
      </c>
      <c r="R528">
        <v>1935</v>
      </c>
      <c r="S528">
        <v>1629</v>
      </c>
      <c r="T528">
        <v>1619</v>
      </c>
      <c r="U528">
        <v>1554</v>
      </c>
      <c r="V528">
        <v>900</v>
      </c>
      <c r="W528">
        <v>878</v>
      </c>
      <c r="X528">
        <v>877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776214</v>
      </c>
    </row>
    <row r="529" spans="1:51" hidden="1" x14ac:dyDescent="0.2">
      <c r="A529" t="s">
        <v>31</v>
      </c>
      <c r="C529">
        <v>527</v>
      </c>
      <c r="D529">
        <v>11</v>
      </c>
      <c r="E529" t="s">
        <v>606</v>
      </c>
      <c r="F529">
        <v>2014</v>
      </c>
      <c r="H529">
        <v>405690</v>
      </c>
      <c r="I529">
        <v>221164</v>
      </c>
      <c r="J529">
        <v>9250</v>
      </c>
      <c r="K529">
        <v>8659</v>
      </c>
      <c r="L529">
        <v>7470</v>
      </c>
      <c r="M529">
        <v>6727</v>
      </c>
      <c r="N529">
        <v>6699</v>
      </c>
      <c r="O529">
        <v>6525</v>
      </c>
      <c r="P529">
        <v>4510</v>
      </c>
      <c r="Q529">
        <v>3051</v>
      </c>
      <c r="R529">
        <v>2279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682024</v>
      </c>
    </row>
    <row r="530" spans="1:51" hidden="1" x14ac:dyDescent="0.2">
      <c r="A530" t="s">
        <v>31</v>
      </c>
      <c r="C530">
        <v>528</v>
      </c>
      <c r="D530">
        <v>10</v>
      </c>
      <c r="E530" t="s">
        <v>607</v>
      </c>
      <c r="F530">
        <v>2014</v>
      </c>
      <c r="H530">
        <v>348186</v>
      </c>
      <c r="I530">
        <v>252496</v>
      </c>
      <c r="J530">
        <v>15245</v>
      </c>
      <c r="K530">
        <v>14150</v>
      </c>
      <c r="L530">
        <v>8387</v>
      </c>
      <c r="M530">
        <v>7916</v>
      </c>
      <c r="N530">
        <v>3857</v>
      </c>
      <c r="O530">
        <v>2392</v>
      </c>
      <c r="P530">
        <v>2045</v>
      </c>
      <c r="Q530">
        <v>1851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656525</v>
      </c>
    </row>
    <row r="531" spans="1:51" hidden="1" x14ac:dyDescent="0.2">
      <c r="A531" t="s">
        <v>31</v>
      </c>
      <c r="C531">
        <v>529</v>
      </c>
      <c r="D531">
        <v>16</v>
      </c>
      <c r="E531" t="s">
        <v>608</v>
      </c>
      <c r="F531">
        <v>2014</v>
      </c>
      <c r="H531">
        <v>636769</v>
      </c>
      <c r="I531">
        <v>352052</v>
      </c>
      <c r="J531">
        <v>59245</v>
      </c>
      <c r="K531">
        <v>13472</v>
      </c>
      <c r="L531">
        <v>10328</v>
      </c>
      <c r="M531">
        <v>9825</v>
      </c>
      <c r="N531">
        <v>3392</v>
      </c>
      <c r="O531">
        <v>3180</v>
      </c>
      <c r="P531">
        <v>2706</v>
      </c>
      <c r="Q531">
        <v>2529</v>
      </c>
      <c r="R531">
        <v>1869</v>
      </c>
      <c r="S531">
        <v>1635</v>
      </c>
      <c r="T531">
        <v>1530</v>
      </c>
      <c r="U531">
        <v>1064</v>
      </c>
      <c r="V531">
        <v>1037</v>
      </c>
      <c r="W531">
        <v>802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1101435</v>
      </c>
    </row>
    <row r="532" spans="1:51" hidden="1" x14ac:dyDescent="0.2">
      <c r="A532" t="s">
        <v>31</v>
      </c>
      <c r="C532">
        <v>530</v>
      </c>
      <c r="D532">
        <v>25</v>
      </c>
      <c r="E532" t="s">
        <v>609</v>
      </c>
      <c r="F532">
        <v>2014</v>
      </c>
      <c r="H532">
        <v>592320</v>
      </c>
      <c r="I532">
        <v>414498</v>
      </c>
      <c r="J532">
        <v>113663</v>
      </c>
      <c r="K532">
        <v>18170</v>
      </c>
      <c r="L532">
        <v>5765</v>
      </c>
      <c r="M532">
        <v>3741</v>
      </c>
      <c r="N532">
        <v>3740</v>
      </c>
      <c r="O532">
        <v>3049</v>
      </c>
      <c r="P532">
        <v>2769</v>
      </c>
      <c r="Q532">
        <v>2535</v>
      </c>
      <c r="R532">
        <v>2067</v>
      </c>
      <c r="S532">
        <v>1888</v>
      </c>
      <c r="T532">
        <v>1682</v>
      </c>
      <c r="U532">
        <v>1117</v>
      </c>
      <c r="V532">
        <v>1051</v>
      </c>
      <c r="W532">
        <v>1043</v>
      </c>
      <c r="X532">
        <v>1015</v>
      </c>
      <c r="Y532">
        <v>915</v>
      </c>
      <c r="Z532">
        <v>820</v>
      </c>
      <c r="AA532">
        <v>765</v>
      </c>
      <c r="AB532">
        <v>710</v>
      </c>
      <c r="AC532">
        <v>664</v>
      </c>
      <c r="AD532">
        <v>637</v>
      </c>
      <c r="AE532">
        <v>614</v>
      </c>
      <c r="AF532">
        <v>454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1175692</v>
      </c>
    </row>
    <row r="533" spans="1:51" hidden="1" x14ac:dyDescent="0.2">
      <c r="A533" t="s">
        <v>32</v>
      </c>
      <c r="C533">
        <v>531</v>
      </c>
      <c r="D533">
        <v>16</v>
      </c>
      <c r="E533" t="s">
        <v>610</v>
      </c>
      <c r="F533">
        <v>2014</v>
      </c>
      <c r="H533">
        <v>90969</v>
      </c>
      <c r="I533">
        <v>83157</v>
      </c>
      <c r="J533">
        <v>3737</v>
      </c>
      <c r="K533">
        <v>2283</v>
      </c>
      <c r="L533">
        <v>1777</v>
      </c>
      <c r="M533">
        <v>1587</v>
      </c>
      <c r="N533">
        <v>1564</v>
      </c>
      <c r="O533">
        <v>1151</v>
      </c>
      <c r="P533">
        <v>1139</v>
      </c>
      <c r="Q533">
        <v>847</v>
      </c>
      <c r="R533">
        <v>436</v>
      </c>
      <c r="S533">
        <v>429</v>
      </c>
      <c r="T533">
        <v>379</v>
      </c>
      <c r="U533">
        <v>334</v>
      </c>
      <c r="V533">
        <v>314</v>
      </c>
      <c r="W533">
        <v>225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190328</v>
      </c>
    </row>
    <row r="534" spans="1:51" hidden="1" x14ac:dyDescent="0.2">
      <c r="A534" t="s">
        <v>33</v>
      </c>
      <c r="C534">
        <v>532</v>
      </c>
      <c r="D534">
        <v>18</v>
      </c>
      <c r="E534" t="s">
        <v>33</v>
      </c>
      <c r="F534">
        <v>2014</v>
      </c>
      <c r="H534">
        <v>191362</v>
      </c>
      <c r="I534">
        <v>121720</v>
      </c>
      <c r="J534">
        <v>108679</v>
      </c>
      <c r="K534">
        <v>15934</v>
      </c>
      <c r="L534">
        <v>3106</v>
      </c>
      <c r="M534">
        <v>2643</v>
      </c>
      <c r="N534">
        <v>2054</v>
      </c>
      <c r="O534">
        <v>1968</v>
      </c>
      <c r="P534">
        <v>997</v>
      </c>
      <c r="Q534">
        <v>743</v>
      </c>
      <c r="R534">
        <v>660</v>
      </c>
      <c r="S534">
        <v>640</v>
      </c>
      <c r="T534">
        <v>613</v>
      </c>
      <c r="U534">
        <v>566</v>
      </c>
      <c r="V534">
        <v>550</v>
      </c>
      <c r="W534">
        <v>434</v>
      </c>
      <c r="X534">
        <v>397</v>
      </c>
      <c r="Y534">
        <v>389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453455</v>
      </c>
    </row>
    <row r="535" spans="1:51" hidden="1" x14ac:dyDescent="0.2">
      <c r="A535" t="s">
        <v>34</v>
      </c>
      <c r="C535">
        <v>533</v>
      </c>
      <c r="D535">
        <v>12</v>
      </c>
      <c r="E535" t="s">
        <v>34</v>
      </c>
      <c r="F535">
        <v>2014</v>
      </c>
      <c r="H535">
        <v>80790</v>
      </c>
      <c r="I535">
        <v>74576</v>
      </c>
      <c r="J535">
        <v>2962</v>
      </c>
      <c r="K535">
        <v>1611</v>
      </c>
      <c r="L535">
        <v>1214</v>
      </c>
      <c r="M535">
        <v>1154</v>
      </c>
      <c r="N535">
        <v>982</v>
      </c>
      <c r="O535">
        <v>621</v>
      </c>
      <c r="P535">
        <v>418</v>
      </c>
      <c r="Q535">
        <v>378</v>
      </c>
      <c r="R535">
        <v>348</v>
      </c>
      <c r="S535">
        <v>232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165286</v>
      </c>
    </row>
    <row r="536" spans="1:51" hidden="1" x14ac:dyDescent="0.2">
      <c r="A536" t="s">
        <v>35</v>
      </c>
      <c r="C536">
        <v>534</v>
      </c>
      <c r="D536">
        <v>5</v>
      </c>
      <c r="E536" t="s">
        <v>35</v>
      </c>
      <c r="F536">
        <v>2014</v>
      </c>
      <c r="H536">
        <v>46960</v>
      </c>
      <c r="I536">
        <v>37738</v>
      </c>
      <c r="J536">
        <v>1316</v>
      </c>
      <c r="K536">
        <v>729</v>
      </c>
      <c r="L536">
        <v>490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87233</v>
      </c>
    </row>
    <row r="537" spans="1:51" hidden="1" x14ac:dyDescent="0.2">
      <c r="A537" t="s">
        <v>36</v>
      </c>
      <c r="C537">
        <v>535</v>
      </c>
      <c r="D537">
        <v>25</v>
      </c>
      <c r="E537" t="s">
        <v>611</v>
      </c>
      <c r="F537">
        <v>2014</v>
      </c>
      <c r="H537">
        <v>437938</v>
      </c>
      <c r="I537">
        <v>301618</v>
      </c>
      <c r="J537">
        <v>176206</v>
      </c>
      <c r="K537">
        <v>28605</v>
      </c>
      <c r="L537">
        <v>7746</v>
      </c>
      <c r="M537">
        <v>4534</v>
      </c>
      <c r="N537">
        <v>4505</v>
      </c>
      <c r="O537">
        <v>3531</v>
      </c>
      <c r="P537">
        <v>3390</v>
      </c>
      <c r="Q537">
        <v>1829</v>
      </c>
      <c r="R537">
        <v>1765</v>
      </c>
      <c r="S537">
        <v>1643</v>
      </c>
      <c r="T537">
        <v>1553</v>
      </c>
      <c r="U537">
        <v>1423</v>
      </c>
      <c r="V537">
        <v>881</v>
      </c>
      <c r="W537">
        <v>789</v>
      </c>
      <c r="X537">
        <v>602</v>
      </c>
      <c r="Y537">
        <v>592</v>
      </c>
      <c r="Z537">
        <v>538</v>
      </c>
      <c r="AA537">
        <v>0</v>
      </c>
      <c r="AB537">
        <v>308</v>
      </c>
      <c r="AC537">
        <v>290</v>
      </c>
      <c r="AD537">
        <v>272</v>
      </c>
      <c r="AE537">
        <v>263</v>
      </c>
      <c r="AF537">
        <v>253</v>
      </c>
      <c r="AG537">
        <v>251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981325</v>
      </c>
    </row>
    <row r="538" spans="1:51" hidden="1" x14ac:dyDescent="0.2">
      <c r="A538" t="s">
        <v>36</v>
      </c>
      <c r="C538">
        <v>536</v>
      </c>
      <c r="D538">
        <v>24</v>
      </c>
      <c r="E538" t="s">
        <v>612</v>
      </c>
      <c r="F538">
        <v>2014</v>
      </c>
      <c r="H538">
        <v>596125</v>
      </c>
      <c r="I538">
        <v>452041</v>
      </c>
      <c r="J538">
        <v>214792</v>
      </c>
      <c r="K538">
        <v>28135</v>
      </c>
      <c r="L538">
        <v>3824</v>
      </c>
      <c r="M538">
        <v>3191</v>
      </c>
      <c r="N538">
        <v>2419</v>
      </c>
      <c r="O538">
        <v>1921</v>
      </c>
      <c r="P538">
        <v>1892</v>
      </c>
      <c r="Q538">
        <v>1695</v>
      </c>
      <c r="R538">
        <v>1669</v>
      </c>
      <c r="S538">
        <v>1263</v>
      </c>
      <c r="T538">
        <v>1257</v>
      </c>
      <c r="U538">
        <v>879</v>
      </c>
      <c r="V538">
        <v>818</v>
      </c>
      <c r="W538">
        <v>784</v>
      </c>
      <c r="X538">
        <v>745</v>
      </c>
      <c r="Y538">
        <v>663</v>
      </c>
      <c r="Z538">
        <v>658</v>
      </c>
      <c r="AA538">
        <v>601</v>
      </c>
      <c r="AB538">
        <v>508</v>
      </c>
      <c r="AC538">
        <v>504</v>
      </c>
      <c r="AD538">
        <v>489</v>
      </c>
      <c r="AE538">
        <v>465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1317338</v>
      </c>
    </row>
    <row r="539" spans="1:51" hidden="1" x14ac:dyDescent="0.2">
      <c r="A539" t="s">
        <v>36</v>
      </c>
      <c r="C539">
        <v>537</v>
      </c>
      <c r="D539">
        <v>24</v>
      </c>
      <c r="E539" t="s">
        <v>613</v>
      </c>
      <c r="F539">
        <v>2014</v>
      </c>
      <c r="H539">
        <v>572202</v>
      </c>
      <c r="I539">
        <v>381739</v>
      </c>
      <c r="J539">
        <v>203240</v>
      </c>
      <c r="K539">
        <v>18575</v>
      </c>
      <c r="L539">
        <v>4975</v>
      </c>
      <c r="M539">
        <v>3894</v>
      </c>
      <c r="N539">
        <v>1708</v>
      </c>
      <c r="O539">
        <v>1515</v>
      </c>
      <c r="P539">
        <v>1153</v>
      </c>
      <c r="Q539">
        <v>978</v>
      </c>
      <c r="R539">
        <v>761</v>
      </c>
      <c r="S539">
        <v>674</v>
      </c>
      <c r="T539">
        <v>668</v>
      </c>
      <c r="U539">
        <v>527</v>
      </c>
      <c r="V539">
        <v>466</v>
      </c>
      <c r="W539">
        <v>422</v>
      </c>
      <c r="X539">
        <v>415</v>
      </c>
      <c r="Y539">
        <v>404</v>
      </c>
      <c r="Z539">
        <v>402</v>
      </c>
      <c r="AA539">
        <v>395</v>
      </c>
      <c r="AB539">
        <v>349</v>
      </c>
      <c r="AC539">
        <v>339</v>
      </c>
      <c r="AD539">
        <v>325</v>
      </c>
      <c r="AE539">
        <v>210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1196336</v>
      </c>
    </row>
    <row r="540" spans="1:51" hidden="1" x14ac:dyDescent="0.2">
      <c r="A540" t="s">
        <v>36</v>
      </c>
      <c r="C540">
        <v>538</v>
      </c>
      <c r="D540">
        <v>30</v>
      </c>
      <c r="E540" t="s">
        <v>614</v>
      </c>
      <c r="F540">
        <v>2014</v>
      </c>
      <c r="H540">
        <v>453350</v>
      </c>
      <c r="I540">
        <v>290642</v>
      </c>
      <c r="J540">
        <v>182893</v>
      </c>
      <c r="K540">
        <v>20028</v>
      </c>
      <c r="L540">
        <v>6088</v>
      </c>
      <c r="M540">
        <v>5589</v>
      </c>
      <c r="N540">
        <v>1260</v>
      </c>
      <c r="O540">
        <v>909</v>
      </c>
      <c r="P540">
        <v>887</v>
      </c>
      <c r="Q540">
        <v>862</v>
      </c>
      <c r="R540">
        <v>687</v>
      </c>
      <c r="S540">
        <v>662</v>
      </c>
      <c r="T540">
        <v>582</v>
      </c>
      <c r="U540">
        <v>532</v>
      </c>
      <c r="V540">
        <v>528</v>
      </c>
      <c r="W540">
        <v>499</v>
      </c>
      <c r="X540">
        <v>444</v>
      </c>
      <c r="Y540">
        <v>429</v>
      </c>
      <c r="Z540">
        <v>388</v>
      </c>
      <c r="AA540">
        <v>366</v>
      </c>
      <c r="AB540">
        <v>347</v>
      </c>
      <c r="AC540">
        <v>298</v>
      </c>
      <c r="AD540">
        <v>217</v>
      </c>
      <c r="AE540">
        <v>213</v>
      </c>
      <c r="AF540">
        <v>205</v>
      </c>
      <c r="AG540">
        <v>203</v>
      </c>
      <c r="AH540">
        <v>199</v>
      </c>
      <c r="AI540">
        <v>186</v>
      </c>
      <c r="AJ540">
        <v>161</v>
      </c>
      <c r="AK540">
        <v>158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969812</v>
      </c>
    </row>
    <row r="541" spans="1:51" hidden="1" x14ac:dyDescent="0.2">
      <c r="A541" t="s">
        <v>36</v>
      </c>
      <c r="C541">
        <v>539</v>
      </c>
      <c r="D541">
        <v>15</v>
      </c>
      <c r="E541" t="s">
        <v>615</v>
      </c>
      <c r="F541">
        <v>2014</v>
      </c>
      <c r="H541">
        <v>629860</v>
      </c>
      <c r="I541">
        <v>523058</v>
      </c>
      <c r="J541">
        <v>157468</v>
      </c>
      <c r="K541">
        <v>21485</v>
      </c>
      <c r="L541">
        <v>8826</v>
      </c>
      <c r="M541">
        <v>3446</v>
      </c>
      <c r="N541">
        <v>2279</v>
      </c>
      <c r="O541">
        <v>1749</v>
      </c>
      <c r="P541">
        <v>1680</v>
      </c>
      <c r="Q541">
        <v>1621</v>
      </c>
      <c r="R541">
        <v>1584</v>
      </c>
      <c r="S541">
        <v>1107</v>
      </c>
      <c r="T541">
        <v>666</v>
      </c>
      <c r="U541">
        <v>662</v>
      </c>
      <c r="V541">
        <v>545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1356036</v>
      </c>
    </row>
    <row r="542" spans="1:51" hidden="1" x14ac:dyDescent="0.2">
      <c r="A542" t="s">
        <v>36</v>
      </c>
      <c r="C542">
        <v>540</v>
      </c>
      <c r="D542">
        <v>18</v>
      </c>
      <c r="E542" t="s">
        <v>616</v>
      </c>
      <c r="F542">
        <v>2014</v>
      </c>
      <c r="H542">
        <v>651395</v>
      </c>
      <c r="I542">
        <v>382809</v>
      </c>
      <c r="J542">
        <v>193266</v>
      </c>
      <c r="K542">
        <v>84722</v>
      </c>
      <c r="L542">
        <v>8707</v>
      </c>
      <c r="M542">
        <v>7932</v>
      </c>
      <c r="N542">
        <v>5960</v>
      </c>
      <c r="O542">
        <v>3624</v>
      </c>
      <c r="P542">
        <v>3078</v>
      </c>
      <c r="Q542">
        <v>1654</v>
      </c>
      <c r="R542">
        <v>988</v>
      </c>
      <c r="S542">
        <v>805</v>
      </c>
      <c r="T542">
        <v>703</v>
      </c>
      <c r="U542">
        <v>651</v>
      </c>
      <c r="V542">
        <v>458</v>
      </c>
      <c r="W542">
        <v>451</v>
      </c>
      <c r="X542">
        <v>415</v>
      </c>
      <c r="Y542">
        <v>353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1347971</v>
      </c>
    </row>
    <row r="543" spans="1:51" hidden="1" x14ac:dyDescent="0.2">
      <c r="A543" t="s">
        <v>36</v>
      </c>
      <c r="C543">
        <v>541</v>
      </c>
      <c r="D543">
        <v>20</v>
      </c>
      <c r="E543" t="s">
        <v>617</v>
      </c>
      <c r="F543">
        <v>2014</v>
      </c>
      <c r="H543">
        <v>497980</v>
      </c>
      <c r="I543">
        <v>390980</v>
      </c>
      <c r="J543">
        <v>125213</v>
      </c>
      <c r="K543">
        <v>56749</v>
      </c>
      <c r="L543">
        <v>10873</v>
      </c>
      <c r="M543">
        <v>4475</v>
      </c>
      <c r="N543">
        <v>4010</v>
      </c>
      <c r="O543">
        <v>2841</v>
      </c>
      <c r="P543">
        <v>1640</v>
      </c>
      <c r="Q543">
        <v>1215</v>
      </c>
      <c r="R543">
        <v>1140</v>
      </c>
      <c r="S543">
        <v>1071</v>
      </c>
      <c r="T543">
        <v>913</v>
      </c>
      <c r="U543">
        <v>803</v>
      </c>
      <c r="V543">
        <v>561</v>
      </c>
      <c r="W543">
        <v>560</v>
      </c>
      <c r="X543">
        <v>412</v>
      </c>
      <c r="Y543">
        <v>357</v>
      </c>
      <c r="Z543">
        <v>314</v>
      </c>
      <c r="AA543">
        <v>303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1102410</v>
      </c>
    </row>
    <row r="544" spans="1:51" hidden="1" x14ac:dyDescent="0.2">
      <c r="A544" t="s">
        <v>37</v>
      </c>
      <c r="C544">
        <v>542</v>
      </c>
      <c r="D544">
        <v>7</v>
      </c>
      <c r="E544" t="s">
        <v>37</v>
      </c>
      <c r="F544">
        <v>2014</v>
      </c>
      <c r="H544">
        <v>21665</v>
      </c>
      <c r="I544">
        <v>20130</v>
      </c>
      <c r="J544">
        <v>488</v>
      </c>
      <c r="K544">
        <v>465</v>
      </c>
      <c r="L544">
        <v>187</v>
      </c>
      <c r="M544">
        <v>181</v>
      </c>
      <c r="N544">
        <v>123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43239</v>
      </c>
    </row>
    <row r="545" spans="1:51" hidden="1" x14ac:dyDescent="0.2">
      <c r="A545" t="s">
        <v>38</v>
      </c>
      <c r="C545">
        <v>543</v>
      </c>
      <c r="D545">
        <v>31</v>
      </c>
      <c r="E545" t="s">
        <v>38</v>
      </c>
      <c r="F545">
        <v>2014</v>
      </c>
      <c r="H545">
        <v>255826</v>
      </c>
      <c r="I545">
        <v>194972</v>
      </c>
      <c r="J545">
        <v>132657</v>
      </c>
      <c r="K545">
        <v>60580</v>
      </c>
      <c r="L545">
        <v>22754</v>
      </c>
      <c r="M545">
        <v>22268</v>
      </c>
      <c r="N545">
        <v>12709</v>
      </c>
      <c r="O545">
        <v>8307</v>
      </c>
      <c r="P545">
        <v>5896</v>
      </c>
      <c r="Q545">
        <v>3472</v>
      </c>
      <c r="R545">
        <v>2494</v>
      </c>
      <c r="S545">
        <v>2060</v>
      </c>
      <c r="T545">
        <v>1777</v>
      </c>
      <c r="U545">
        <v>1726</v>
      </c>
      <c r="V545">
        <v>1442</v>
      </c>
      <c r="W545">
        <v>1340</v>
      </c>
      <c r="X545">
        <v>1270</v>
      </c>
      <c r="Y545">
        <v>1236</v>
      </c>
      <c r="Z545">
        <v>1144</v>
      </c>
      <c r="AA545">
        <v>767</v>
      </c>
      <c r="AB545">
        <v>747</v>
      </c>
      <c r="AC545">
        <v>746</v>
      </c>
      <c r="AD545">
        <v>610</v>
      </c>
      <c r="AE545">
        <v>497</v>
      </c>
      <c r="AF545">
        <v>477</v>
      </c>
      <c r="AG545">
        <v>467</v>
      </c>
      <c r="AH545">
        <v>465</v>
      </c>
      <c r="AI545">
        <v>438</v>
      </c>
      <c r="AJ545">
        <v>366</v>
      </c>
      <c r="AK545">
        <v>309</v>
      </c>
      <c r="AL545">
        <v>198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740017</v>
      </c>
    </row>
  </sheetData>
  <autoFilter ref="A2:BL545">
    <filterColumn colId="3">
      <filters>
        <filter val="4"/>
      </filters>
    </filterColumn>
    <filterColumn colId="52">
      <filters>
        <filter val="1.00"/>
      </filters>
    </filterColumn>
  </autoFilter>
  <conditionalFormatting sqref="BL46 BL278:BL279">
    <cfRule type="cellIs" dxfId="0" priority="1" operator="equal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45"/>
  <sheetViews>
    <sheetView workbookViewId="0">
      <pane xSplit="1" ySplit="2" topLeftCell="B528" activePane="bottomRight" state="frozen"/>
      <selection pane="topRight" activeCell="B1" sqref="B1"/>
      <selection pane="bottomLeft" activeCell="A3" sqref="A3"/>
      <selection pane="bottomRight" activeCell="F543" sqref="F543"/>
    </sheetView>
  </sheetViews>
  <sheetFormatPr defaultRowHeight="12.75" x14ac:dyDescent="0.2"/>
  <sheetData>
    <row r="1" spans="1:50" x14ac:dyDescent="0.2">
      <c r="G1">
        <v>0</v>
      </c>
      <c r="H1">
        <v>1</v>
      </c>
      <c r="I1">
        <v>2</v>
      </c>
      <c r="J1">
        <v>3</v>
      </c>
      <c r="K1">
        <v>4</v>
      </c>
      <c r="L1">
        <v>5</v>
      </c>
      <c r="M1">
        <v>6</v>
      </c>
      <c r="N1">
        <v>7</v>
      </c>
      <c r="O1">
        <v>8</v>
      </c>
      <c r="P1">
        <v>9</v>
      </c>
      <c r="Q1">
        <v>10</v>
      </c>
      <c r="R1">
        <v>11</v>
      </c>
      <c r="S1">
        <v>12</v>
      </c>
      <c r="T1">
        <v>13</v>
      </c>
      <c r="U1">
        <v>14</v>
      </c>
      <c r="V1">
        <v>15</v>
      </c>
      <c r="W1">
        <v>16</v>
      </c>
      <c r="X1">
        <v>17</v>
      </c>
      <c r="Y1">
        <v>18</v>
      </c>
      <c r="Z1">
        <v>19</v>
      </c>
      <c r="AA1">
        <v>20</v>
      </c>
      <c r="AB1">
        <v>21</v>
      </c>
      <c r="AC1">
        <v>22</v>
      </c>
      <c r="AD1">
        <v>23</v>
      </c>
      <c r="AE1">
        <v>24</v>
      </c>
      <c r="AF1">
        <v>25</v>
      </c>
      <c r="AG1">
        <v>26</v>
      </c>
      <c r="AH1">
        <v>27</v>
      </c>
      <c r="AI1">
        <v>28</v>
      </c>
      <c r="AJ1">
        <v>29</v>
      </c>
      <c r="AK1">
        <v>30</v>
      </c>
      <c r="AL1">
        <v>31</v>
      </c>
      <c r="AM1">
        <v>32</v>
      </c>
      <c r="AN1">
        <v>33</v>
      </c>
      <c r="AO1">
        <v>34</v>
      </c>
      <c r="AP1">
        <v>35</v>
      </c>
      <c r="AQ1">
        <v>36</v>
      </c>
      <c r="AR1">
        <v>37</v>
      </c>
      <c r="AS1">
        <v>38</v>
      </c>
      <c r="AT1">
        <v>39</v>
      </c>
      <c r="AU1">
        <v>40</v>
      </c>
      <c r="AV1">
        <v>41</v>
      </c>
      <c r="AW1">
        <v>42</v>
      </c>
    </row>
    <row r="2" spans="1:50" x14ac:dyDescent="0.2">
      <c r="A2" t="s">
        <v>39</v>
      </c>
      <c r="B2" t="s">
        <v>40</v>
      </c>
      <c r="C2" t="s">
        <v>41</v>
      </c>
      <c r="D2" t="s">
        <v>42</v>
      </c>
      <c r="E2" t="s">
        <v>0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53</v>
      </c>
      <c r="Q2" t="s">
        <v>54</v>
      </c>
      <c r="R2" t="s">
        <v>55</v>
      </c>
      <c r="S2" t="s">
        <v>56</v>
      </c>
      <c r="T2" t="s">
        <v>57</v>
      </c>
      <c r="U2" t="s">
        <v>58</v>
      </c>
      <c r="V2" t="s">
        <v>59</v>
      </c>
      <c r="W2" t="s">
        <v>60</v>
      </c>
      <c r="X2" t="s">
        <v>61</v>
      </c>
      <c r="Y2" t="s">
        <v>62</v>
      </c>
      <c r="Z2" t="s">
        <v>63</v>
      </c>
      <c r="AA2" t="s">
        <v>64</v>
      </c>
      <c r="AB2" t="s">
        <v>65</v>
      </c>
      <c r="AC2" t="s">
        <v>66</v>
      </c>
      <c r="AD2" t="s">
        <v>67</v>
      </c>
      <c r="AE2" t="s">
        <v>68</v>
      </c>
      <c r="AF2" t="s">
        <v>69</v>
      </c>
      <c r="AG2" t="s">
        <v>70</v>
      </c>
      <c r="AH2" t="s">
        <v>71</v>
      </c>
      <c r="AI2" t="s">
        <v>72</v>
      </c>
      <c r="AJ2" t="s">
        <v>73</v>
      </c>
      <c r="AK2" t="s">
        <v>74</v>
      </c>
      <c r="AL2" t="s">
        <v>75</v>
      </c>
      <c r="AM2" t="s">
        <v>76</v>
      </c>
      <c r="AN2" t="s">
        <v>77</v>
      </c>
      <c r="AO2" t="s">
        <v>78</v>
      </c>
      <c r="AP2" t="s">
        <v>79</v>
      </c>
      <c r="AQ2" t="s">
        <v>80</v>
      </c>
      <c r="AR2" t="s">
        <v>81</v>
      </c>
      <c r="AS2" t="s">
        <v>82</v>
      </c>
      <c r="AT2" t="s">
        <v>83</v>
      </c>
      <c r="AU2" t="s">
        <v>84</v>
      </c>
      <c r="AV2" t="s">
        <v>85</v>
      </c>
      <c r="AW2" t="s">
        <v>86</v>
      </c>
      <c r="AX2" t="s">
        <v>87</v>
      </c>
    </row>
    <row r="3" spans="1:50" x14ac:dyDescent="0.2">
      <c r="A3" t="s">
        <v>1</v>
      </c>
      <c r="C3">
        <v>1</v>
      </c>
      <c r="D3">
        <v>9</v>
      </c>
      <c r="E3" t="s">
        <v>88</v>
      </c>
      <c r="F3">
        <v>2014</v>
      </c>
      <c r="G3">
        <v>430847</v>
      </c>
      <c r="H3">
        <v>259557</v>
      </c>
      <c r="I3">
        <v>184198</v>
      </c>
      <c r="J3">
        <v>94420</v>
      </c>
      <c r="K3">
        <v>41032</v>
      </c>
      <c r="L3">
        <v>17084</v>
      </c>
      <c r="M3">
        <v>8859</v>
      </c>
      <c r="N3">
        <v>5055</v>
      </c>
      <c r="O3">
        <v>4787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1045839</v>
      </c>
    </row>
    <row r="4" spans="1:50" x14ac:dyDescent="0.2">
      <c r="A4" t="s">
        <v>1</v>
      </c>
      <c r="C4">
        <v>2</v>
      </c>
      <c r="D4">
        <v>18</v>
      </c>
      <c r="E4" t="s">
        <v>89</v>
      </c>
      <c r="F4">
        <v>2014</v>
      </c>
      <c r="G4">
        <v>565496</v>
      </c>
      <c r="H4">
        <v>274338</v>
      </c>
      <c r="I4">
        <v>63334</v>
      </c>
      <c r="J4">
        <v>45977</v>
      </c>
      <c r="K4">
        <v>9449</v>
      </c>
      <c r="L4">
        <v>9290</v>
      </c>
      <c r="M4">
        <v>9199</v>
      </c>
      <c r="N4">
        <v>8609</v>
      </c>
      <c r="O4">
        <v>7258</v>
      </c>
      <c r="P4">
        <v>5361</v>
      </c>
      <c r="Q4">
        <v>3866</v>
      </c>
      <c r="R4">
        <v>3699</v>
      </c>
      <c r="S4">
        <v>3266</v>
      </c>
      <c r="T4">
        <v>3020</v>
      </c>
      <c r="U4">
        <v>2742</v>
      </c>
      <c r="V4">
        <v>2674</v>
      </c>
      <c r="W4">
        <v>2361</v>
      </c>
      <c r="X4">
        <v>2245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1022184</v>
      </c>
    </row>
    <row r="5" spans="1:50" x14ac:dyDescent="0.2">
      <c r="A5" t="s">
        <v>1</v>
      </c>
      <c r="C5">
        <v>3</v>
      </c>
      <c r="D5">
        <v>18</v>
      </c>
      <c r="E5" t="s">
        <v>90</v>
      </c>
      <c r="F5">
        <v>2014</v>
      </c>
      <c r="G5">
        <v>505358</v>
      </c>
      <c r="H5">
        <v>300706</v>
      </c>
      <c r="I5">
        <v>214828</v>
      </c>
      <c r="J5">
        <v>39308</v>
      </c>
      <c r="K5">
        <v>11328</v>
      </c>
      <c r="L5">
        <v>8034</v>
      </c>
      <c r="M5">
        <v>6713</v>
      </c>
      <c r="N5">
        <v>5734</v>
      </c>
      <c r="O5">
        <v>4769</v>
      </c>
      <c r="P5">
        <v>4728</v>
      </c>
      <c r="Q5">
        <v>3943</v>
      </c>
      <c r="R5">
        <v>3851</v>
      </c>
      <c r="S5">
        <v>3772</v>
      </c>
      <c r="T5">
        <v>3075</v>
      </c>
      <c r="U5">
        <v>2757</v>
      </c>
      <c r="V5">
        <v>2445</v>
      </c>
      <c r="W5">
        <v>2062</v>
      </c>
      <c r="X5">
        <v>1773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1125184</v>
      </c>
    </row>
    <row r="6" spans="1:50" x14ac:dyDescent="0.2">
      <c r="A6" t="s">
        <v>1</v>
      </c>
      <c r="C6">
        <v>4</v>
      </c>
      <c r="D6">
        <v>17</v>
      </c>
      <c r="E6" t="s">
        <v>91</v>
      </c>
      <c r="F6">
        <v>2014</v>
      </c>
      <c r="G6">
        <v>439307</v>
      </c>
      <c r="H6">
        <v>272123</v>
      </c>
      <c r="I6">
        <v>225333</v>
      </c>
      <c r="J6">
        <v>43814</v>
      </c>
      <c r="K6">
        <v>8129</v>
      </c>
      <c r="L6">
        <v>7421</v>
      </c>
      <c r="M6">
        <v>7266</v>
      </c>
      <c r="N6">
        <v>4791</v>
      </c>
      <c r="O6">
        <v>3990</v>
      </c>
      <c r="P6">
        <v>3651</v>
      </c>
      <c r="Q6">
        <v>3529</v>
      </c>
      <c r="R6">
        <v>3091</v>
      </c>
      <c r="S6">
        <v>2817</v>
      </c>
      <c r="T6">
        <v>2621</v>
      </c>
      <c r="U6">
        <v>2462</v>
      </c>
      <c r="V6">
        <v>1978</v>
      </c>
      <c r="W6">
        <v>1601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1033924</v>
      </c>
    </row>
    <row r="7" spans="1:50" x14ac:dyDescent="0.2">
      <c r="A7" t="s">
        <v>1</v>
      </c>
      <c r="C7">
        <v>5</v>
      </c>
      <c r="D7">
        <v>11</v>
      </c>
      <c r="E7" t="s">
        <v>92</v>
      </c>
      <c r="F7">
        <v>2014</v>
      </c>
      <c r="G7">
        <v>508661</v>
      </c>
      <c r="H7">
        <v>364030</v>
      </c>
      <c r="I7">
        <v>157497</v>
      </c>
      <c r="J7">
        <v>18027</v>
      </c>
      <c r="K7">
        <v>12383</v>
      </c>
      <c r="L7">
        <v>11190</v>
      </c>
      <c r="M7">
        <v>8180</v>
      </c>
      <c r="N7">
        <v>4804</v>
      </c>
      <c r="O7">
        <v>4426</v>
      </c>
      <c r="P7">
        <v>3285</v>
      </c>
      <c r="Q7">
        <v>2323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1094806</v>
      </c>
    </row>
    <row r="8" spans="1:50" x14ac:dyDescent="0.2">
      <c r="A8" t="s">
        <v>1</v>
      </c>
      <c r="C8">
        <v>6</v>
      </c>
      <c r="D8">
        <v>14</v>
      </c>
      <c r="E8" t="s">
        <v>93</v>
      </c>
      <c r="F8">
        <v>2014</v>
      </c>
      <c r="G8">
        <v>657492</v>
      </c>
      <c r="H8">
        <v>260463</v>
      </c>
      <c r="I8">
        <v>181804</v>
      </c>
      <c r="J8">
        <v>33507</v>
      </c>
      <c r="K8">
        <v>11752</v>
      </c>
      <c r="L8">
        <v>10696</v>
      </c>
      <c r="M8">
        <v>7599</v>
      </c>
      <c r="N8">
        <v>6643</v>
      </c>
      <c r="O8">
        <v>5010</v>
      </c>
      <c r="P8">
        <v>4441</v>
      </c>
      <c r="Q8">
        <v>3297</v>
      </c>
      <c r="R8">
        <v>3281</v>
      </c>
      <c r="S8">
        <v>2973</v>
      </c>
      <c r="T8">
        <v>2053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1191011</v>
      </c>
    </row>
    <row r="9" spans="1:50" x14ac:dyDescent="0.2">
      <c r="A9" t="s">
        <v>1</v>
      </c>
      <c r="C9">
        <v>7</v>
      </c>
      <c r="D9">
        <v>31</v>
      </c>
      <c r="E9" t="s">
        <v>94</v>
      </c>
      <c r="F9">
        <v>2014</v>
      </c>
      <c r="G9">
        <v>523356</v>
      </c>
      <c r="H9">
        <v>495190</v>
      </c>
      <c r="I9">
        <v>233530</v>
      </c>
      <c r="J9">
        <v>158248</v>
      </c>
      <c r="K9">
        <v>115221</v>
      </c>
      <c r="L9">
        <v>18544</v>
      </c>
      <c r="M9">
        <v>13239</v>
      </c>
      <c r="N9">
        <v>8692</v>
      </c>
      <c r="O9">
        <v>8301</v>
      </c>
      <c r="P9">
        <v>7953</v>
      </c>
      <c r="Q9">
        <v>6133</v>
      </c>
      <c r="R9">
        <v>5717</v>
      </c>
      <c r="S9">
        <v>4095</v>
      </c>
      <c r="T9">
        <v>2677</v>
      </c>
      <c r="U9">
        <v>2261</v>
      </c>
      <c r="V9">
        <v>2049</v>
      </c>
      <c r="W9">
        <v>1693</v>
      </c>
      <c r="X9">
        <v>1547</v>
      </c>
      <c r="Y9">
        <v>1416</v>
      </c>
      <c r="Z9">
        <v>1390</v>
      </c>
      <c r="AA9">
        <v>1325</v>
      </c>
      <c r="AB9">
        <v>1301</v>
      </c>
      <c r="AC9">
        <v>1032</v>
      </c>
      <c r="AD9">
        <v>1026</v>
      </c>
      <c r="AE9">
        <v>899</v>
      </c>
      <c r="AF9">
        <v>802</v>
      </c>
      <c r="AG9">
        <v>775</v>
      </c>
      <c r="AH9">
        <v>596</v>
      </c>
      <c r="AI9">
        <v>529</v>
      </c>
      <c r="AJ9">
        <v>496</v>
      </c>
      <c r="AK9">
        <v>411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1620444</v>
      </c>
    </row>
    <row r="10" spans="1:50" x14ac:dyDescent="0.2">
      <c r="A10" t="s">
        <v>1</v>
      </c>
      <c r="C10">
        <v>8</v>
      </c>
      <c r="D10">
        <v>31</v>
      </c>
      <c r="E10" t="s">
        <v>95</v>
      </c>
      <c r="F10">
        <v>2014</v>
      </c>
      <c r="G10">
        <v>438271</v>
      </c>
      <c r="H10">
        <v>183536</v>
      </c>
      <c r="I10">
        <v>145120</v>
      </c>
      <c r="J10">
        <v>143847</v>
      </c>
      <c r="K10">
        <v>45187</v>
      </c>
      <c r="L10">
        <v>11184</v>
      </c>
      <c r="M10">
        <v>6572</v>
      </c>
      <c r="N10">
        <v>3691</v>
      </c>
      <c r="O10">
        <v>2863</v>
      </c>
      <c r="P10">
        <v>2603</v>
      </c>
      <c r="Q10">
        <v>2481</v>
      </c>
      <c r="R10">
        <v>2311</v>
      </c>
      <c r="S10">
        <v>2058</v>
      </c>
      <c r="T10">
        <v>1813</v>
      </c>
      <c r="U10">
        <v>1496</v>
      </c>
      <c r="V10">
        <v>1144</v>
      </c>
      <c r="W10">
        <v>959</v>
      </c>
      <c r="X10">
        <v>928</v>
      </c>
      <c r="Y10">
        <v>886</v>
      </c>
      <c r="Z10">
        <v>873</v>
      </c>
      <c r="AA10">
        <v>809</v>
      </c>
      <c r="AB10">
        <v>786</v>
      </c>
      <c r="AC10">
        <v>779</v>
      </c>
      <c r="AD10">
        <v>638</v>
      </c>
      <c r="AE10">
        <v>554</v>
      </c>
      <c r="AF10">
        <v>547</v>
      </c>
      <c r="AG10">
        <v>474</v>
      </c>
      <c r="AH10">
        <v>376</v>
      </c>
      <c r="AI10">
        <v>370</v>
      </c>
      <c r="AJ10">
        <v>322</v>
      </c>
      <c r="AK10">
        <v>291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1003769</v>
      </c>
    </row>
    <row r="11" spans="1:50" x14ac:dyDescent="0.2">
      <c r="A11" t="s">
        <v>1</v>
      </c>
      <c r="C11">
        <v>9</v>
      </c>
      <c r="D11">
        <v>17</v>
      </c>
      <c r="E11" t="s">
        <v>96</v>
      </c>
      <c r="F11">
        <v>2014</v>
      </c>
      <c r="G11">
        <v>513868</v>
      </c>
      <c r="H11">
        <v>311414</v>
      </c>
      <c r="I11">
        <v>49310</v>
      </c>
      <c r="J11">
        <v>37195</v>
      </c>
      <c r="K11">
        <v>21796</v>
      </c>
      <c r="L11">
        <v>10743</v>
      </c>
      <c r="M11">
        <v>6118</v>
      </c>
      <c r="N11">
        <v>5992</v>
      </c>
      <c r="O11">
        <v>5013</v>
      </c>
      <c r="P11">
        <v>3100</v>
      </c>
      <c r="Q11">
        <v>2102</v>
      </c>
      <c r="R11">
        <v>1593</v>
      </c>
      <c r="S11">
        <v>740</v>
      </c>
      <c r="T11">
        <v>728</v>
      </c>
      <c r="U11">
        <v>626</v>
      </c>
      <c r="V11">
        <v>598</v>
      </c>
      <c r="W11">
        <v>485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971421</v>
      </c>
    </row>
    <row r="12" spans="1:50" x14ac:dyDescent="0.2">
      <c r="A12" t="s">
        <v>1</v>
      </c>
      <c r="C12">
        <v>10</v>
      </c>
      <c r="D12">
        <v>16</v>
      </c>
      <c r="E12" t="s">
        <v>97</v>
      </c>
      <c r="F12">
        <v>2014</v>
      </c>
      <c r="G12">
        <v>435077</v>
      </c>
      <c r="H12">
        <v>362054</v>
      </c>
      <c r="I12">
        <v>353203</v>
      </c>
      <c r="J12">
        <v>56835</v>
      </c>
      <c r="K12">
        <v>40135</v>
      </c>
      <c r="L12">
        <v>24660</v>
      </c>
      <c r="M12">
        <v>10018</v>
      </c>
      <c r="N12">
        <v>7732</v>
      </c>
      <c r="O12">
        <v>7462</v>
      </c>
      <c r="P12">
        <v>5789</v>
      </c>
      <c r="Q12">
        <v>2904</v>
      </c>
      <c r="R12">
        <v>2545</v>
      </c>
      <c r="S12">
        <v>2214</v>
      </c>
      <c r="T12">
        <v>2058</v>
      </c>
      <c r="U12">
        <v>1765</v>
      </c>
      <c r="V12">
        <v>1411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1315862</v>
      </c>
    </row>
    <row r="13" spans="1:50" x14ac:dyDescent="0.2">
      <c r="A13" t="s">
        <v>1</v>
      </c>
      <c r="C13">
        <v>11</v>
      </c>
      <c r="D13">
        <v>10</v>
      </c>
      <c r="E13" t="s">
        <v>98</v>
      </c>
      <c r="F13">
        <v>2014</v>
      </c>
      <c r="G13">
        <v>334228</v>
      </c>
      <c r="H13">
        <v>331638</v>
      </c>
      <c r="I13">
        <v>272791</v>
      </c>
      <c r="J13">
        <v>30388</v>
      </c>
      <c r="K13">
        <v>15779</v>
      </c>
      <c r="L13">
        <v>9105</v>
      </c>
      <c r="M13">
        <v>9037</v>
      </c>
      <c r="N13">
        <v>4549</v>
      </c>
      <c r="O13">
        <v>4033</v>
      </c>
      <c r="P13">
        <v>3252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1014800</v>
      </c>
    </row>
    <row r="14" spans="1:50" x14ac:dyDescent="0.2">
      <c r="A14" t="s">
        <v>1</v>
      </c>
      <c r="C14">
        <v>12</v>
      </c>
      <c r="D14">
        <v>7</v>
      </c>
      <c r="E14" t="s">
        <v>99</v>
      </c>
      <c r="F14">
        <v>2014</v>
      </c>
      <c r="G14">
        <v>420075</v>
      </c>
      <c r="H14">
        <v>403399</v>
      </c>
      <c r="I14">
        <v>183352</v>
      </c>
      <c r="J14">
        <v>54680</v>
      </c>
      <c r="K14">
        <v>22985</v>
      </c>
      <c r="L14">
        <v>12388</v>
      </c>
      <c r="M14">
        <v>12089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1108968</v>
      </c>
    </row>
    <row r="15" spans="1:50" x14ac:dyDescent="0.2">
      <c r="A15" t="s">
        <v>1</v>
      </c>
      <c r="C15">
        <v>13</v>
      </c>
      <c r="D15">
        <v>10</v>
      </c>
      <c r="E15" t="s">
        <v>100</v>
      </c>
      <c r="F15">
        <v>2014</v>
      </c>
      <c r="G15">
        <v>472093</v>
      </c>
      <c r="H15">
        <v>278937</v>
      </c>
      <c r="I15">
        <v>260677</v>
      </c>
      <c r="J15">
        <v>56259</v>
      </c>
      <c r="K15">
        <v>54423</v>
      </c>
      <c r="L15">
        <v>39385</v>
      </c>
      <c r="M15">
        <v>11517</v>
      </c>
      <c r="N15">
        <v>9305</v>
      </c>
      <c r="O15">
        <v>4495</v>
      </c>
      <c r="P15">
        <v>2308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1189399</v>
      </c>
    </row>
    <row r="16" spans="1:50" x14ac:dyDescent="0.2">
      <c r="A16" t="s">
        <v>1</v>
      </c>
      <c r="C16">
        <v>14</v>
      </c>
      <c r="D16">
        <v>14</v>
      </c>
      <c r="E16" t="s">
        <v>101</v>
      </c>
      <c r="F16">
        <v>2014</v>
      </c>
      <c r="G16">
        <v>448164</v>
      </c>
      <c r="H16">
        <v>417620</v>
      </c>
      <c r="I16">
        <v>183249</v>
      </c>
      <c r="J16">
        <v>54035</v>
      </c>
      <c r="K16">
        <v>35004</v>
      </c>
      <c r="L16">
        <v>26805</v>
      </c>
      <c r="M16">
        <v>10907</v>
      </c>
      <c r="N16">
        <v>9029</v>
      </c>
      <c r="O16">
        <v>7721</v>
      </c>
      <c r="P16">
        <v>6847</v>
      </c>
      <c r="Q16">
        <v>5551</v>
      </c>
      <c r="R16">
        <v>2600</v>
      </c>
      <c r="S16">
        <v>2342</v>
      </c>
      <c r="T16">
        <v>1858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1211732</v>
      </c>
    </row>
    <row r="17" spans="1:50" x14ac:dyDescent="0.2">
      <c r="A17" t="s">
        <v>1</v>
      </c>
      <c r="C17">
        <v>15</v>
      </c>
      <c r="D17">
        <v>13</v>
      </c>
      <c r="E17" t="s">
        <v>102</v>
      </c>
      <c r="F17">
        <v>2014</v>
      </c>
      <c r="G17">
        <v>661639</v>
      </c>
      <c r="H17">
        <v>269065</v>
      </c>
      <c r="I17">
        <v>187139</v>
      </c>
      <c r="J17">
        <v>14034</v>
      </c>
      <c r="K17">
        <v>9536</v>
      </c>
      <c r="L17">
        <v>9178</v>
      </c>
      <c r="M17">
        <v>7350</v>
      </c>
      <c r="N17">
        <v>5569</v>
      </c>
      <c r="O17">
        <v>3211</v>
      </c>
      <c r="P17">
        <v>2258</v>
      </c>
      <c r="Q17">
        <v>2098</v>
      </c>
      <c r="R17">
        <v>2013</v>
      </c>
      <c r="S17">
        <v>1541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1174631</v>
      </c>
    </row>
    <row r="18" spans="1:50" x14ac:dyDescent="0.2">
      <c r="A18" t="s">
        <v>1</v>
      </c>
      <c r="C18">
        <v>16</v>
      </c>
      <c r="D18">
        <v>18</v>
      </c>
      <c r="E18" t="s">
        <v>103</v>
      </c>
      <c r="F18">
        <v>2014</v>
      </c>
      <c r="G18">
        <v>320569</v>
      </c>
      <c r="H18">
        <v>285577</v>
      </c>
      <c r="I18">
        <v>215904</v>
      </c>
      <c r="J18">
        <v>128472</v>
      </c>
      <c r="K18">
        <v>94044</v>
      </c>
      <c r="L18">
        <v>14034</v>
      </c>
      <c r="M18">
        <v>13663</v>
      </c>
      <c r="N18">
        <v>6853</v>
      </c>
      <c r="O18">
        <v>6704</v>
      </c>
      <c r="P18">
        <v>6637</v>
      </c>
      <c r="Q18">
        <v>6224</v>
      </c>
      <c r="R18">
        <v>5879</v>
      </c>
      <c r="S18">
        <v>3925</v>
      </c>
      <c r="T18">
        <v>3662</v>
      </c>
      <c r="U18">
        <v>3498</v>
      </c>
      <c r="V18">
        <v>3443</v>
      </c>
      <c r="W18">
        <v>3091</v>
      </c>
      <c r="X18">
        <v>2193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1124372</v>
      </c>
    </row>
    <row r="19" spans="1:50" x14ac:dyDescent="0.2">
      <c r="A19" t="s">
        <v>1</v>
      </c>
      <c r="C19">
        <v>17</v>
      </c>
      <c r="D19">
        <v>28</v>
      </c>
      <c r="E19" t="s">
        <v>104</v>
      </c>
      <c r="F19">
        <v>2014</v>
      </c>
      <c r="G19">
        <v>422434</v>
      </c>
      <c r="H19">
        <v>410230</v>
      </c>
      <c r="I19">
        <v>187702</v>
      </c>
      <c r="J19">
        <v>89124</v>
      </c>
      <c r="K19">
        <v>9460</v>
      </c>
      <c r="L19">
        <v>8055</v>
      </c>
      <c r="M19">
        <v>6506</v>
      </c>
      <c r="N19">
        <v>5401</v>
      </c>
      <c r="O19">
        <v>5368</v>
      </c>
      <c r="P19">
        <v>5002</v>
      </c>
      <c r="Q19">
        <v>4991</v>
      </c>
      <c r="R19">
        <v>4761</v>
      </c>
      <c r="S19">
        <v>4484</v>
      </c>
      <c r="T19">
        <v>4139</v>
      </c>
      <c r="U19">
        <v>1617</v>
      </c>
      <c r="V19">
        <v>1491</v>
      </c>
      <c r="W19">
        <v>1434</v>
      </c>
      <c r="X19">
        <v>1342</v>
      </c>
      <c r="Y19">
        <v>1274</v>
      </c>
      <c r="Z19">
        <v>1202</v>
      </c>
      <c r="AA19">
        <v>1116</v>
      </c>
      <c r="AB19">
        <v>1063</v>
      </c>
      <c r="AC19">
        <v>1021</v>
      </c>
      <c r="AD19">
        <v>983</v>
      </c>
      <c r="AE19">
        <v>964</v>
      </c>
      <c r="AF19">
        <v>917</v>
      </c>
      <c r="AG19">
        <v>889</v>
      </c>
      <c r="AH19">
        <v>879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1183849</v>
      </c>
    </row>
    <row r="20" spans="1:50" x14ac:dyDescent="0.2">
      <c r="A20" t="s">
        <v>1</v>
      </c>
      <c r="C20">
        <v>18</v>
      </c>
      <c r="D20">
        <v>12</v>
      </c>
      <c r="E20" t="s">
        <v>105</v>
      </c>
      <c r="F20">
        <v>2014</v>
      </c>
      <c r="G20">
        <v>413191</v>
      </c>
      <c r="H20">
        <v>321793</v>
      </c>
      <c r="I20">
        <v>52884</v>
      </c>
      <c r="J20">
        <v>38898</v>
      </c>
      <c r="K20">
        <v>23215</v>
      </c>
      <c r="L20">
        <v>16532</v>
      </c>
      <c r="M20">
        <v>8951</v>
      </c>
      <c r="N20">
        <v>8569</v>
      </c>
      <c r="O20">
        <v>7688</v>
      </c>
      <c r="P20">
        <v>7587</v>
      </c>
      <c r="Q20">
        <v>5692</v>
      </c>
      <c r="R20">
        <v>4614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909614</v>
      </c>
    </row>
    <row r="21" spans="1:50" x14ac:dyDescent="0.2">
      <c r="A21" t="s">
        <v>1</v>
      </c>
      <c r="C21">
        <v>19</v>
      </c>
      <c r="D21">
        <v>11</v>
      </c>
      <c r="E21" t="s">
        <v>106</v>
      </c>
      <c r="F21">
        <v>2014</v>
      </c>
      <c r="G21">
        <v>556545</v>
      </c>
      <c r="H21">
        <v>428853</v>
      </c>
      <c r="I21">
        <v>24171</v>
      </c>
      <c r="J21">
        <v>11423</v>
      </c>
      <c r="K21">
        <v>8049</v>
      </c>
      <c r="L21">
        <v>6138</v>
      </c>
      <c r="M21">
        <v>5132</v>
      </c>
      <c r="N21">
        <v>5026</v>
      </c>
      <c r="O21">
        <v>2559</v>
      </c>
      <c r="P21">
        <v>2144</v>
      </c>
      <c r="Q21">
        <v>2075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1052115</v>
      </c>
    </row>
    <row r="22" spans="1:50" x14ac:dyDescent="0.2">
      <c r="A22" t="s">
        <v>1</v>
      </c>
      <c r="C22">
        <v>20</v>
      </c>
      <c r="D22">
        <v>10</v>
      </c>
      <c r="E22" t="s">
        <v>107</v>
      </c>
      <c r="F22">
        <v>2014</v>
      </c>
      <c r="G22">
        <v>536549</v>
      </c>
      <c r="H22">
        <v>429638</v>
      </c>
      <c r="I22">
        <v>122487</v>
      </c>
      <c r="J22">
        <v>6528</v>
      </c>
      <c r="K22">
        <v>6401</v>
      </c>
      <c r="L22">
        <v>5125</v>
      </c>
      <c r="M22">
        <v>4092</v>
      </c>
      <c r="N22">
        <v>3603</v>
      </c>
      <c r="O22">
        <v>3388</v>
      </c>
      <c r="P22">
        <v>2505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1120316</v>
      </c>
    </row>
    <row r="23" spans="1:50" x14ac:dyDescent="0.2">
      <c r="A23" t="s">
        <v>1</v>
      </c>
      <c r="C23">
        <v>21</v>
      </c>
      <c r="D23">
        <v>23</v>
      </c>
      <c r="E23" t="s">
        <v>108</v>
      </c>
      <c r="F23">
        <v>2014</v>
      </c>
      <c r="G23">
        <v>566832</v>
      </c>
      <c r="H23">
        <v>476344</v>
      </c>
      <c r="I23">
        <v>50632</v>
      </c>
      <c r="J23">
        <v>14947</v>
      </c>
      <c r="K23">
        <v>7329</v>
      </c>
      <c r="L23">
        <v>6644</v>
      </c>
      <c r="M23">
        <v>6175</v>
      </c>
      <c r="N23">
        <v>5418</v>
      </c>
      <c r="O23">
        <v>4323</v>
      </c>
      <c r="P23">
        <v>2717</v>
      </c>
      <c r="Q23">
        <v>2611</v>
      </c>
      <c r="R23">
        <v>2377</v>
      </c>
      <c r="S23">
        <v>1927</v>
      </c>
      <c r="T23">
        <v>1910</v>
      </c>
      <c r="U23">
        <v>1889</v>
      </c>
      <c r="V23">
        <v>1759</v>
      </c>
      <c r="W23">
        <v>1751</v>
      </c>
      <c r="X23">
        <v>1594</v>
      </c>
      <c r="Y23">
        <v>1540</v>
      </c>
      <c r="Z23">
        <v>1379</v>
      </c>
      <c r="AA23">
        <v>1348</v>
      </c>
      <c r="AB23">
        <v>1118</v>
      </c>
      <c r="AC23">
        <v>994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1163558</v>
      </c>
    </row>
    <row r="24" spans="1:50" x14ac:dyDescent="0.2">
      <c r="A24" t="s">
        <v>1</v>
      </c>
      <c r="C24">
        <v>22</v>
      </c>
      <c r="D24">
        <v>9</v>
      </c>
      <c r="E24" t="s">
        <v>109</v>
      </c>
      <c r="F24">
        <v>2014</v>
      </c>
      <c r="G24">
        <v>568463</v>
      </c>
      <c r="H24">
        <v>520531</v>
      </c>
      <c r="I24">
        <v>17770</v>
      </c>
      <c r="J24">
        <v>14834</v>
      </c>
      <c r="K24">
        <v>8604</v>
      </c>
      <c r="L24">
        <v>6261</v>
      </c>
      <c r="M24">
        <v>5506</v>
      </c>
      <c r="N24">
        <v>3228</v>
      </c>
      <c r="O24">
        <v>2875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1148072</v>
      </c>
    </row>
    <row r="25" spans="1:50" x14ac:dyDescent="0.2">
      <c r="A25" t="s">
        <v>1</v>
      </c>
      <c r="C25">
        <v>23</v>
      </c>
      <c r="D25">
        <v>23</v>
      </c>
      <c r="E25" t="s">
        <v>110</v>
      </c>
      <c r="F25">
        <v>2014</v>
      </c>
      <c r="G25">
        <v>514402</v>
      </c>
      <c r="H25">
        <v>510971</v>
      </c>
      <c r="I25">
        <v>19754</v>
      </c>
      <c r="J25">
        <v>6836</v>
      </c>
      <c r="K25">
        <v>6636</v>
      </c>
      <c r="L25">
        <v>6442</v>
      </c>
      <c r="M25">
        <v>4358</v>
      </c>
      <c r="N25">
        <v>3826</v>
      </c>
      <c r="O25">
        <v>3756</v>
      </c>
      <c r="P25">
        <v>3473</v>
      </c>
      <c r="Q25">
        <v>2511</v>
      </c>
      <c r="R25">
        <v>2356</v>
      </c>
      <c r="S25">
        <v>1907</v>
      </c>
      <c r="T25">
        <v>1837</v>
      </c>
      <c r="U25">
        <v>1697</v>
      </c>
      <c r="V25">
        <v>1495</v>
      </c>
      <c r="W25">
        <v>1417</v>
      </c>
      <c r="X25">
        <v>1400</v>
      </c>
      <c r="Y25">
        <v>1236</v>
      </c>
      <c r="Z25">
        <v>1161</v>
      </c>
      <c r="AA25">
        <v>1122</v>
      </c>
      <c r="AB25">
        <v>910</v>
      </c>
      <c r="AC25">
        <v>496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1099999</v>
      </c>
    </row>
    <row r="26" spans="1:50" x14ac:dyDescent="0.2">
      <c r="A26" t="s">
        <v>1</v>
      </c>
      <c r="C26">
        <v>24</v>
      </c>
      <c r="D26">
        <v>15</v>
      </c>
      <c r="E26" t="s">
        <v>111</v>
      </c>
      <c r="F26">
        <v>2014</v>
      </c>
      <c r="G26">
        <v>594547</v>
      </c>
      <c r="H26">
        <v>473971</v>
      </c>
      <c r="I26">
        <v>12182</v>
      </c>
      <c r="J26">
        <v>9931</v>
      </c>
      <c r="K26">
        <v>7219</v>
      </c>
      <c r="L26">
        <v>6141</v>
      </c>
      <c r="M26">
        <v>4560</v>
      </c>
      <c r="N26">
        <v>3233</v>
      </c>
      <c r="O26">
        <v>2867</v>
      </c>
      <c r="P26">
        <v>1684</v>
      </c>
      <c r="Q26">
        <v>1171</v>
      </c>
      <c r="R26">
        <v>1110</v>
      </c>
      <c r="S26">
        <v>862</v>
      </c>
      <c r="T26">
        <v>824</v>
      </c>
      <c r="U26">
        <v>625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1120927</v>
      </c>
    </row>
    <row r="27" spans="1:50" x14ac:dyDescent="0.2">
      <c r="A27" t="s">
        <v>1</v>
      </c>
      <c r="C27">
        <v>25</v>
      </c>
      <c r="D27">
        <v>15</v>
      </c>
      <c r="E27" t="s">
        <v>112</v>
      </c>
      <c r="F27">
        <v>2014</v>
      </c>
      <c r="G27">
        <v>630573</v>
      </c>
      <c r="H27">
        <v>463139</v>
      </c>
      <c r="I27">
        <v>21243</v>
      </c>
      <c r="J27">
        <v>11718</v>
      </c>
      <c r="K27">
        <v>7456</v>
      </c>
      <c r="L27">
        <v>6079</v>
      </c>
      <c r="M27">
        <v>5481</v>
      </c>
      <c r="N27">
        <v>1390</v>
      </c>
      <c r="O27">
        <v>1356</v>
      </c>
      <c r="P27">
        <v>1329</v>
      </c>
      <c r="Q27">
        <v>1282</v>
      </c>
      <c r="R27">
        <v>991</v>
      </c>
      <c r="S27">
        <v>989</v>
      </c>
      <c r="T27">
        <v>765</v>
      </c>
      <c r="U27">
        <v>590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1154381</v>
      </c>
    </row>
    <row r="28" spans="1:50" x14ac:dyDescent="0.2">
      <c r="A28" t="s">
        <v>1</v>
      </c>
      <c r="C28">
        <v>26</v>
      </c>
      <c r="D28">
        <v>15</v>
      </c>
      <c r="E28" t="s">
        <v>113</v>
      </c>
      <c r="F28">
        <v>2014</v>
      </c>
      <c r="G28">
        <v>540306</v>
      </c>
      <c r="H28">
        <v>454955</v>
      </c>
      <c r="I28">
        <v>27083</v>
      </c>
      <c r="J28">
        <v>23260</v>
      </c>
      <c r="K28">
        <v>8491</v>
      </c>
      <c r="L28">
        <v>8004</v>
      </c>
      <c r="M28">
        <v>6838</v>
      </c>
      <c r="N28">
        <v>6708</v>
      </c>
      <c r="O28">
        <v>4232</v>
      </c>
      <c r="P28">
        <v>2286</v>
      </c>
      <c r="Q28">
        <v>1605</v>
      </c>
      <c r="R28">
        <v>1350</v>
      </c>
      <c r="S28">
        <v>1298</v>
      </c>
      <c r="T28">
        <v>1281</v>
      </c>
      <c r="U28">
        <v>1250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1088947</v>
      </c>
    </row>
    <row r="29" spans="1:50" x14ac:dyDescent="0.2">
      <c r="A29" t="s">
        <v>1</v>
      </c>
      <c r="C29">
        <v>27</v>
      </c>
      <c r="D29">
        <v>16</v>
      </c>
      <c r="E29" t="s">
        <v>114</v>
      </c>
      <c r="F29">
        <v>2014</v>
      </c>
      <c r="G29">
        <v>623471</v>
      </c>
      <c r="H29">
        <v>521545</v>
      </c>
      <c r="I29">
        <v>11770</v>
      </c>
      <c r="J29">
        <v>11670</v>
      </c>
      <c r="K29">
        <v>7544</v>
      </c>
      <c r="L29">
        <v>4483</v>
      </c>
      <c r="M29">
        <v>3971</v>
      </c>
      <c r="N29">
        <v>3423</v>
      </c>
      <c r="O29">
        <v>2873</v>
      </c>
      <c r="P29">
        <v>2721</v>
      </c>
      <c r="Q29">
        <v>2318</v>
      </c>
      <c r="R29">
        <v>1323</v>
      </c>
      <c r="S29">
        <v>1320</v>
      </c>
      <c r="T29">
        <v>1302</v>
      </c>
      <c r="U29">
        <v>1212</v>
      </c>
      <c r="V29">
        <v>751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1201697</v>
      </c>
    </row>
    <row r="30" spans="1:50" x14ac:dyDescent="0.2">
      <c r="A30" t="s">
        <v>1</v>
      </c>
      <c r="C30">
        <v>28</v>
      </c>
      <c r="D30">
        <v>12</v>
      </c>
      <c r="E30" t="s">
        <v>115</v>
      </c>
      <c r="F30">
        <v>2014</v>
      </c>
      <c r="G30">
        <v>587280</v>
      </c>
      <c r="H30">
        <v>506223</v>
      </c>
      <c r="I30">
        <v>14111</v>
      </c>
      <c r="J30">
        <v>8171</v>
      </c>
      <c r="K30">
        <v>7692</v>
      </c>
      <c r="L30">
        <v>4401</v>
      </c>
      <c r="M30">
        <v>4085</v>
      </c>
      <c r="N30">
        <v>3399</v>
      </c>
      <c r="O30">
        <v>1770</v>
      </c>
      <c r="P30">
        <v>1597</v>
      </c>
      <c r="Q30">
        <v>1405</v>
      </c>
      <c r="R30">
        <v>931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1141065</v>
      </c>
    </row>
    <row r="31" spans="1:50" x14ac:dyDescent="0.2">
      <c r="A31" t="s">
        <v>1</v>
      </c>
      <c r="C31">
        <v>29</v>
      </c>
      <c r="D31">
        <v>23</v>
      </c>
      <c r="E31" t="s">
        <v>116</v>
      </c>
      <c r="F31">
        <v>2014</v>
      </c>
      <c r="G31">
        <v>592953</v>
      </c>
      <c r="H31">
        <v>518239</v>
      </c>
      <c r="I31">
        <v>39760</v>
      </c>
      <c r="J31">
        <v>7539</v>
      </c>
      <c r="K31">
        <v>5296</v>
      </c>
      <c r="L31">
        <v>5294</v>
      </c>
      <c r="M31">
        <v>3582</v>
      </c>
      <c r="N31">
        <v>3088</v>
      </c>
      <c r="O31">
        <v>2809</v>
      </c>
      <c r="P31">
        <v>2571</v>
      </c>
      <c r="Q31">
        <v>2460</v>
      </c>
      <c r="R31">
        <v>1874</v>
      </c>
      <c r="S31">
        <v>1521</v>
      </c>
      <c r="T31">
        <v>1402</v>
      </c>
      <c r="U31">
        <v>1168</v>
      </c>
      <c r="V31">
        <v>1099</v>
      </c>
      <c r="W31">
        <v>1014</v>
      </c>
      <c r="X31">
        <v>950</v>
      </c>
      <c r="Y31">
        <v>803</v>
      </c>
      <c r="Z31">
        <v>749</v>
      </c>
      <c r="AA31">
        <v>667</v>
      </c>
      <c r="AB31">
        <v>504</v>
      </c>
      <c r="AC31">
        <v>423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1195765</v>
      </c>
    </row>
    <row r="32" spans="1:50" x14ac:dyDescent="0.2">
      <c r="A32" t="s">
        <v>1</v>
      </c>
      <c r="C32">
        <v>30</v>
      </c>
      <c r="D32">
        <v>13</v>
      </c>
      <c r="E32" t="s">
        <v>117</v>
      </c>
      <c r="F32">
        <v>2014</v>
      </c>
      <c r="G32">
        <v>618417</v>
      </c>
      <c r="H32">
        <v>549306</v>
      </c>
      <c r="I32">
        <v>46818</v>
      </c>
      <c r="J32">
        <v>7596</v>
      </c>
      <c r="K32">
        <v>5608</v>
      </c>
      <c r="L32">
        <v>4223</v>
      </c>
      <c r="M32">
        <v>2852</v>
      </c>
      <c r="N32">
        <v>2594</v>
      </c>
      <c r="O32">
        <v>2344</v>
      </c>
      <c r="P32">
        <v>1636</v>
      </c>
      <c r="Q32">
        <v>1455</v>
      </c>
      <c r="R32">
        <v>1169</v>
      </c>
      <c r="S32">
        <v>908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1244926</v>
      </c>
    </row>
    <row r="33" spans="1:50" x14ac:dyDescent="0.2">
      <c r="A33" t="s">
        <v>1</v>
      </c>
      <c r="C33">
        <v>31</v>
      </c>
      <c r="D33">
        <v>12</v>
      </c>
      <c r="E33" t="s">
        <v>118</v>
      </c>
      <c r="F33">
        <v>2014</v>
      </c>
      <c r="G33">
        <v>632464</v>
      </c>
      <c r="H33">
        <v>597184</v>
      </c>
      <c r="I33">
        <v>22943</v>
      </c>
      <c r="J33">
        <v>7032</v>
      </c>
      <c r="K33">
        <v>5985</v>
      </c>
      <c r="L33">
        <v>5142</v>
      </c>
      <c r="M33">
        <v>4911</v>
      </c>
      <c r="N33">
        <v>1877</v>
      </c>
      <c r="O33">
        <v>1404</v>
      </c>
      <c r="P33">
        <v>1118</v>
      </c>
      <c r="Q33">
        <v>1025</v>
      </c>
      <c r="R33">
        <v>973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1282058</v>
      </c>
    </row>
    <row r="34" spans="1:50" x14ac:dyDescent="0.2">
      <c r="A34" t="s">
        <v>1</v>
      </c>
      <c r="C34">
        <v>32</v>
      </c>
      <c r="D34">
        <v>15</v>
      </c>
      <c r="E34" t="s">
        <v>119</v>
      </c>
      <c r="F34">
        <v>2014</v>
      </c>
      <c r="G34">
        <v>578145</v>
      </c>
      <c r="H34">
        <v>545391</v>
      </c>
      <c r="I34">
        <v>23072</v>
      </c>
      <c r="J34">
        <v>8414</v>
      </c>
      <c r="K34">
        <v>8113</v>
      </c>
      <c r="L34">
        <v>6146</v>
      </c>
      <c r="M34">
        <v>3948</v>
      </c>
      <c r="N34">
        <v>3657</v>
      </c>
      <c r="O34">
        <v>2967</v>
      </c>
      <c r="P34">
        <v>1206</v>
      </c>
      <c r="Q34">
        <v>823</v>
      </c>
      <c r="R34">
        <v>749</v>
      </c>
      <c r="S34">
        <v>720</v>
      </c>
      <c r="T34">
        <v>668</v>
      </c>
      <c r="U34">
        <v>615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1184634</v>
      </c>
    </row>
    <row r="35" spans="1:50" x14ac:dyDescent="0.2">
      <c r="A35" t="s">
        <v>1</v>
      </c>
      <c r="C35">
        <v>33</v>
      </c>
      <c r="D35">
        <v>16</v>
      </c>
      <c r="E35" t="s">
        <v>120</v>
      </c>
      <c r="F35">
        <v>2014</v>
      </c>
      <c r="G35">
        <v>589861</v>
      </c>
      <c r="H35">
        <v>574302</v>
      </c>
      <c r="I35">
        <v>13356</v>
      </c>
      <c r="J35">
        <v>5864</v>
      </c>
      <c r="K35">
        <v>5781</v>
      </c>
      <c r="L35">
        <v>4393</v>
      </c>
      <c r="M35">
        <v>3724</v>
      </c>
      <c r="N35">
        <v>3207</v>
      </c>
      <c r="O35">
        <v>1936</v>
      </c>
      <c r="P35">
        <v>1392</v>
      </c>
      <c r="Q35">
        <v>999</v>
      </c>
      <c r="R35">
        <v>879</v>
      </c>
      <c r="S35">
        <v>756</v>
      </c>
      <c r="T35">
        <v>658</v>
      </c>
      <c r="U35">
        <v>625</v>
      </c>
      <c r="V35">
        <v>492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1208225</v>
      </c>
    </row>
    <row r="36" spans="1:50" x14ac:dyDescent="0.2">
      <c r="A36" t="s">
        <v>1</v>
      </c>
      <c r="C36">
        <v>34</v>
      </c>
      <c r="D36">
        <v>15</v>
      </c>
      <c r="E36" t="s">
        <v>121</v>
      </c>
      <c r="F36">
        <v>2014</v>
      </c>
      <c r="G36">
        <v>622411</v>
      </c>
      <c r="H36">
        <v>516645</v>
      </c>
      <c r="I36">
        <v>16378</v>
      </c>
      <c r="J36">
        <v>11784</v>
      </c>
      <c r="K36">
        <v>7189</v>
      </c>
      <c r="L36">
        <v>7115</v>
      </c>
      <c r="M36">
        <v>5598</v>
      </c>
      <c r="N36">
        <v>5400</v>
      </c>
      <c r="O36">
        <v>2708</v>
      </c>
      <c r="P36">
        <v>2499</v>
      </c>
      <c r="Q36">
        <v>2437</v>
      </c>
      <c r="R36">
        <v>1495</v>
      </c>
      <c r="S36">
        <v>1325</v>
      </c>
      <c r="T36">
        <v>1036</v>
      </c>
      <c r="U36">
        <v>936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1204956</v>
      </c>
    </row>
    <row r="37" spans="1:50" x14ac:dyDescent="0.2">
      <c r="A37" t="s">
        <v>1</v>
      </c>
      <c r="C37">
        <v>35</v>
      </c>
      <c r="D37">
        <v>13</v>
      </c>
      <c r="E37" t="s">
        <v>122</v>
      </c>
      <c r="F37">
        <v>2014</v>
      </c>
      <c r="G37">
        <v>472782</v>
      </c>
      <c r="H37">
        <v>428651</v>
      </c>
      <c r="I37">
        <v>116603</v>
      </c>
      <c r="J37">
        <v>11393</v>
      </c>
      <c r="K37">
        <v>9385</v>
      </c>
      <c r="L37">
        <v>6522</v>
      </c>
      <c r="M37">
        <v>5746</v>
      </c>
      <c r="N37">
        <v>3600</v>
      </c>
      <c r="O37">
        <v>2820</v>
      </c>
      <c r="P37">
        <v>2605</v>
      </c>
      <c r="Q37">
        <v>2021</v>
      </c>
      <c r="R37">
        <v>1990</v>
      </c>
      <c r="S37">
        <v>1614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1065732</v>
      </c>
    </row>
    <row r="38" spans="1:50" x14ac:dyDescent="0.2">
      <c r="A38" t="s">
        <v>1</v>
      </c>
      <c r="C38">
        <v>36</v>
      </c>
      <c r="D38">
        <v>14</v>
      </c>
      <c r="E38" t="s">
        <v>123</v>
      </c>
      <c r="F38">
        <v>2014</v>
      </c>
      <c r="G38">
        <v>610288</v>
      </c>
      <c r="H38">
        <v>548297</v>
      </c>
      <c r="I38">
        <v>16719</v>
      </c>
      <c r="J38">
        <v>8857</v>
      </c>
      <c r="K38">
        <v>6542</v>
      </c>
      <c r="L38">
        <v>6227</v>
      </c>
      <c r="M38">
        <v>3031</v>
      </c>
      <c r="N38">
        <v>2800</v>
      </c>
      <c r="O38">
        <v>2274</v>
      </c>
      <c r="P38">
        <v>2076</v>
      </c>
      <c r="Q38">
        <v>1599</v>
      </c>
      <c r="R38">
        <v>1388</v>
      </c>
      <c r="S38">
        <v>1095</v>
      </c>
      <c r="T38">
        <v>952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1212145</v>
      </c>
    </row>
    <row r="39" spans="1:50" x14ac:dyDescent="0.2">
      <c r="A39" t="s">
        <v>1</v>
      </c>
      <c r="C39">
        <v>37</v>
      </c>
      <c r="D39">
        <v>13</v>
      </c>
      <c r="E39" t="s">
        <v>124</v>
      </c>
      <c r="F39">
        <v>2014</v>
      </c>
      <c r="G39">
        <v>604291</v>
      </c>
      <c r="H39">
        <v>506966</v>
      </c>
      <c r="I39">
        <v>36452</v>
      </c>
      <c r="J39">
        <v>8189</v>
      </c>
      <c r="K39">
        <v>4590</v>
      </c>
      <c r="L39">
        <v>4521</v>
      </c>
      <c r="M39">
        <v>3101</v>
      </c>
      <c r="N39">
        <v>2332</v>
      </c>
      <c r="O39">
        <v>2032</v>
      </c>
      <c r="P39">
        <v>1275</v>
      </c>
      <c r="Q39">
        <v>1257</v>
      </c>
      <c r="R39">
        <v>1152</v>
      </c>
      <c r="S39">
        <v>1099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1177257</v>
      </c>
    </row>
    <row r="40" spans="1:50" x14ac:dyDescent="0.2">
      <c r="A40" t="s">
        <v>1</v>
      </c>
      <c r="C40">
        <v>38</v>
      </c>
      <c r="D40">
        <v>15</v>
      </c>
      <c r="E40" t="s">
        <v>125</v>
      </c>
      <c r="F40">
        <v>2014</v>
      </c>
      <c r="G40">
        <v>671983</v>
      </c>
      <c r="H40">
        <v>481660</v>
      </c>
      <c r="I40">
        <v>14319</v>
      </c>
      <c r="J40">
        <v>6058</v>
      </c>
      <c r="K40">
        <v>5515</v>
      </c>
      <c r="L40">
        <v>3809</v>
      </c>
      <c r="M40">
        <v>3401</v>
      </c>
      <c r="N40">
        <v>3219</v>
      </c>
      <c r="O40">
        <v>2565</v>
      </c>
      <c r="P40">
        <v>2240</v>
      </c>
      <c r="Q40">
        <v>1821</v>
      </c>
      <c r="R40">
        <v>1217</v>
      </c>
      <c r="S40">
        <v>1034</v>
      </c>
      <c r="T40">
        <v>933</v>
      </c>
      <c r="U40">
        <v>888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1200662</v>
      </c>
    </row>
    <row r="41" spans="1:50" x14ac:dyDescent="0.2">
      <c r="A41" t="s">
        <v>1</v>
      </c>
      <c r="C41">
        <v>39</v>
      </c>
      <c r="D41">
        <v>15</v>
      </c>
      <c r="E41" t="s">
        <v>126</v>
      </c>
      <c r="F41">
        <v>2014</v>
      </c>
      <c r="G41">
        <v>576396</v>
      </c>
      <c r="H41">
        <v>562918</v>
      </c>
      <c r="I41">
        <v>22870</v>
      </c>
      <c r="J41">
        <v>5578</v>
      </c>
      <c r="K41">
        <v>5549</v>
      </c>
      <c r="L41">
        <v>4112</v>
      </c>
      <c r="M41">
        <v>3299</v>
      </c>
      <c r="N41">
        <v>1424</v>
      </c>
      <c r="O41">
        <v>999</v>
      </c>
      <c r="P41">
        <v>875</v>
      </c>
      <c r="Q41">
        <v>820</v>
      </c>
      <c r="R41">
        <v>760</v>
      </c>
      <c r="S41">
        <v>736</v>
      </c>
      <c r="T41">
        <v>686</v>
      </c>
      <c r="U41">
        <v>626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1187648</v>
      </c>
    </row>
    <row r="42" spans="1:50" x14ac:dyDescent="0.2">
      <c r="A42" t="s">
        <v>1</v>
      </c>
      <c r="C42">
        <v>40</v>
      </c>
      <c r="D42">
        <v>15</v>
      </c>
      <c r="E42" t="s">
        <v>127</v>
      </c>
      <c r="F42">
        <v>2014</v>
      </c>
      <c r="G42">
        <v>580376</v>
      </c>
      <c r="H42">
        <v>542951</v>
      </c>
      <c r="I42">
        <v>33333</v>
      </c>
      <c r="J42">
        <v>11168</v>
      </c>
      <c r="K42">
        <v>9815</v>
      </c>
      <c r="L42">
        <v>8690</v>
      </c>
      <c r="M42">
        <v>7280</v>
      </c>
      <c r="N42">
        <v>6036</v>
      </c>
      <c r="O42">
        <v>2875</v>
      </c>
      <c r="P42">
        <v>2510</v>
      </c>
      <c r="Q42">
        <v>1829</v>
      </c>
      <c r="R42">
        <v>1696</v>
      </c>
      <c r="S42">
        <v>1645</v>
      </c>
      <c r="T42">
        <v>1455</v>
      </c>
      <c r="U42">
        <v>1403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1213062</v>
      </c>
    </row>
    <row r="43" spans="1:50" x14ac:dyDescent="0.2">
      <c r="A43" t="s">
        <v>1</v>
      </c>
      <c r="C43">
        <v>41</v>
      </c>
      <c r="D43">
        <v>10</v>
      </c>
      <c r="E43" t="s">
        <v>128</v>
      </c>
      <c r="F43">
        <v>2014</v>
      </c>
      <c r="G43">
        <v>601752</v>
      </c>
      <c r="H43">
        <v>426990</v>
      </c>
      <c r="I43">
        <v>59777</v>
      </c>
      <c r="J43">
        <v>29332</v>
      </c>
      <c r="K43">
        <v>15086</v>
      </c>
      <c r="L43">
        <v>8189</v>
      </c>
      <c r="M43">
        <v>7116</v>
      </c>
      <c r="N43">
        <v>3896</v>
      </c>
      <c r="O43">
        <v>3549</v>
      </c>
      <c r="P43">
        <v>2630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1158317</v>
      </c>
    </row>
    <row r="44" spans="1:50" x14ac:dyDescent="0.2">
      <c r="A44" t="s">
        <v>1</v>
      </c>
      <c r="C44">
        <v>42</v>
      </c>
      <c r="D44">
        <v>8</v>
      </c>
      <c r="E44" t="s">
        <v>129</v>
      </c>
      <c r="F44">
        <v>2014</v>
      </c>
      <c r="G44">
        <v>594862</v>
      </c>
      <c r="H44">
        <v>550724</v>
      </c>
      <c r="I44">
        <v>16572</v>
      </c>
      <c r="J44">
        <v>15897</v>
      </c>
      <c r="K44">
        <v>6996</v>
      </c>
      <c r="L44">
        <v>5740</v>
      </c>
      <c r="M44">
        <v>4321</v>
      </c>
      <c r="N44">
        <v>3803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1198915</v>
      </c>
    </row>
    <row r="45" spans="1:50" x14ac:dyDescent="0.2">
      <c r="A45" t="s">
        <v>2</v>
      </c>
      <c r="C45">
        <v>43</v>
      </c>
      <c r="D45">
        <v>9</v>
      </c>
      <c r="E45" t="s">
        <v>130</v>
      </c>
      <c r="F45">
        <v>2014</v>
      </c>
      <c r="G45">
        <v>169367</v>
      </c>
      <c r="H45">
        <v>127629</v>
      </c>
      <c r="I45">
        <v>14664</v>
      </c>
      <c r="J45">
        <v>9135</v>
      </c>
      <c r="K45">
        <v>6065</v>
      </c>
      <c r="L45">
        <v>3647</v>
      </c>
      <c r="M45">
        <v>2362</v>
      </c>
      <c r="N45">
        <v>1816</v>
      </c>
      <c r="O45">
        <v>980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335665</v>
      </c>
    </row>
    <row r="46" spans="1:50" x14ac:dyDescent="0.2">
      <c r="A46" t="s">
        <v>2</v>
      </c>
      <c r="C46">
        <v>44</v>
      </c>
      <c r="D46">
        <v>4</v>
      </c>
      <c r="E46" t="s">
        <v>131</v>
      </c>
      <c r="F46">
        <v>2014</v>
      </c>
      <c r="G46">
        <v>118455</v>
      </c>
      <c r="H46">
        <v>105977</v>
      </c>
      <c r="I46">
        <v>32354</v>
      </c>
      <c r="J46">
        <v>4505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261291</v>
      </c>
    </row>
    <row r="47" spans="1:50" x14ac:dyDescent="0.2">
      <c r="A47" t="s">
        <v>3</v>
      </c>
      <c r="C47">
        <v>45</v>
      </c>
      <c r="D47">
        <v>16</v>
      </c>
      <c r="E47" t="s">
        <v>132</v>
      </c>
      <c r="F47">
        <v>2014</v>
      </c>
      <c r="G47">
        <v>362866</v>
      </c>
      <c r="H47">
        <v>260772</v>
      </c>
      <c r="I47">
        <v>226562</v>
      </c>
      <c r="J47">
        <v>5556</v>
      </c>
      <c r="K47">
        <v>4266</v>
      </c>
      <c r="L47">
        <v>3658</v>
      </c>
      <c r="M47">
        <v>3437</v>
      </c>
      <c r="N47">
        <v>3114</v>
      </c>
      <c r="O47">
        <v>2465</v>
      </c>
      <c r="P47">
        <v>2447</v>
      </c>
      <c r="Q47">
        <v>2392</v>
      </c>
      <c r="R47">
        <v>2275</v>
      </c>
      <c r="S47">
        <v>1974</v>
      </c>
      <c r="T47">
        <v>1880</v>
      </c>
      <c r="U47">
        <v>1664</v>
      </c>
      <c r="V47">
        <v>1592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886920</v>
      </c>
    </row>
    <row r="48" spans="1:50" x14ac:dyDescent="0.2">
      <c r="A48" t="s">
        <v>3</v>
      </c>
      <c r="C48">
        <v>46</v>
      </c>
      <c r="D48">
        <v>18</v>
      </c>
      <c r="E48" t="s">
        <v>133</v>
      </c>
      <c r="F48">
        <v>2014</v>
      </c>
      <c r="G48">
        <v>336451</v>
      </c>
      <c r="H48">
        <v>301210</v>
      </c>
      <c r="I48">
        <v>85530</v>
      </c>
      <c r="J48">
        <v>12460</v>
      </c>
      <c r="K48">
        <v>8595</v>
      </c>
      <c r="L48">
        <v>8577</v>
      </c>
      <c r="M48">
        <v>8282</v>
      </c>
      <c r="N48">
        <v>7679</v>
      </c>
      <c r="O48">
        <v>6221</v>
      </c>
      <c r="P48">
        <v>4310</v>
      </c>
      <c r="Q48">
        <v>3347</v>
      </c>
      <c r="R48">
        <v>3151</v>
      </c>
      <c r="S48">
        <v>3118</v>
      </c>
      <c r="T48">
        <v>2740</v>
      </c>
      <c r="U48">
        <v>2462</v>
      </c>
      <c r="V48">
        <v>2170</v>
      </c>
      <c r="W48">
        <v>1922</v>
      </c>
      <c r="X48">
        <v>1605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799830</v>
      </c>
    </row>
    <row r="49" spans="1:50" x14ac:dyDescent="0.2">
      <c r="A49" t="s">
        <v>3</v>
      </c>
      <c r="C49">
        <v>47</v>
      </c>
      <c r="D49">
        <v>6</v>
      </c>
      <c r="E49" t="s">
        <v>134</v>
      </c>
      <c r="F49">
        <v>2014</v>
      </c>
      <c r="G49">
        <v>213152</v>
      </c>
      <c r="H49">
        <v>189057</v>
      </c>
      <c r="I49">
        <v>108299</v>
      </c>
      <c r="J49">
        <v>11762</v>
      </c>
      <c r="K49">
        <v>11747</v>
      </c>
      <c r="L49">
        <v>9263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543280</v>
      </c>
    </row>
    <row r="50" spans="1:50" x14ac:dyDescent="0.2">
      <c r="A50" t="s">
        <v>3</v>
      </c>
      <c r="C50">
        <v>48</v>
      </c>
      <c r="D50">
        <v>16</v>
      </c>
      <c r="E50" t="s">
        <v>135</v>
      </c>
      <c r="F50">
        <v>2014</v>
      </c>
      <c r="G50">
        <v>592569</v>
      </c>
      <c r="H50">
        <v>362839</v>
      </c>
      <c r="I50">
        <v>298985</v>
      </c>
      <c r="J50">
        <v>40208</v>
      </c>
      <c r="K50">
        <v>23816</v>
      </c>
      <c r="L50">
        <v>9897</v>
      </c>
      <c r="M50">
        <v>7874</v>
      </c>
      <c r="N50">
        <v>5935</v>
      </c>
      <c r="O50">
        <v>5811</v>
      </c>
      <c r="P50">
        <v>4607</v>
      </c>
      <c r="Q50">
        <v>4468</v>
      </c>
      <c r="R50">
        <v>3277</v>
      </c>
      <c r="S50">
        <v>2785</v>
      </c>
      <c r="T50">
        <v>2723</v>
      </c>
      <c r="U50">
        <v>2375</v>
      </c>
      <c r="V50">
        <v>1455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1369624</v>
      </c>
    </row>
    <row r="51" spans="1:50" x14ac:dyDescent="0.2">
      <c r="A51" t="s">
        <v>3</v>
      </c>
      <c r="C51">
        <v>49</v>
      </c>
      <c r="D51">
        <v>7</v>
      </c>
      <c r="E51" t="s">
        <v>136</v>
      </c>
      <c r="F51">
        <v>2014</v>
      </c>
      <c r="G51">
        <v>634428</v>
      </c>
      <c r="H51">
        <v>278649</v>
      </c>
      <c r="I51">
        <v>243759</v>
      </c>
      <c r="J51">
        <v>20074</v>
      </c>
      <c r="K51">
        <v>18183</v>
      </c>
      <c r="L51">
        <v>17537</v>
      </c>
      <c r="M51">
        <v>11239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1223869</v>
      </c>
    </row>
    <row r="52" spans="1:50" x14ac:dyDescent="0.2">
      <c r="A52" t="s">
        <v>3</v>
      </c>
      <c r="C52">
        <v>50</v>
      </c>
      <c r="D52">
        <v>16</v>
      </c>
      <c r="E52" t="s">
        <v>137</v>
      </c>
      <c r="F52">
        <v>2014</v>
      </c>
      <c r="G52">
        <v>394702</v>
      </c>
      <c r="H52">
        <v>352361</v>
      </c>
      <c r="I52">
        <v>277802</v>
      </c>
      <c r="J52">
        <v>73733</v>
      </c>
      <c r="K52">
        <v>27575</v>
      </c>
      <c r="L52">
        <v>24444</v>
      </c>
      <c r="M52">
        <v>20135</v>
      </c>
      <c r="N52">
        <v>10944</v>
      </c>
      <c r="O52">
        <v>5710</v>
      </c>
      <c r="P52">
        <v>4785</v>
      </c>
      <c r="Q52">
        <v>3433</v>
      </c>
      <c r="R52">
        <v>3099</v>
      </c>
      <c r="S52">
        <v>1937</v>
      </c>
      <c r="T52">
        <v>1859</v>
      </c>
      <c r="U52">
        <v>1695</v>
      </c>
      <c r="V52">
        <v>1649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1205863</v>
      </c>
    </row>
    <row r="53" spans="1:50" x14ac:dyDescent="0.2">
      <c r="A53" t="s">
        <v>3</v>
      </c>
      <c r="C53">
        <v>51</v>
      </c>
      <c r="D53">
        <v>19</v>
      </c>
      <c r="E53" t="s">
        <v>138</v>
      </c>
      <c r="F53">
        <v>2014</v>
      </c>
      <c r="G53">
        <v>764985</v>
      </c>
      <c r="H53">
        <v>449201</v>
      </c>
      <c r="I53">
        <v>137254</v>
      </c>
      <c r="J53">
        <v>86546</v>
      </c>
      <c r="K53">
        <v>12432</v>
      </c>
      <c r="L53">
        <v>8162</v>
      </c>
      <c r="M53">
        <v>7345</v>
      </c>
      <c r="N53">
        <v>6720</v>
      </c>
      <c r="O53">
        <v>6636</v>
      </c>
      <c r="P53">
        <v>5782</v>
      </c>
      <c r="Q53">
        <v>4809</v>
      </c>
      <c r="R53">
        <v>3540</v>
      </c>
      <c r="S53">
        <v>3240</v>
      </c>
      <c r="T53">
        <v>2845</v>
      </c>
      <c r="U53">
        <v>2629</v>
      </c>
      <c r="V53">
        <v>2532</v>
      </c>
      <c r="W53">
        <v>2411</v>
      </c>
      <c r="X53">
        <v>2385</v>
      </c>
      <c r="Y53">
        <v>2275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1511729</v>
      </c>
    </row>
    <row r="54" spans="1:50" x14ac:dyDescent="0.2">
      <c r="A54" t="s">
        <v>3</v>
      </c>
      <c r="C54">
        <v>52</v>
      </c>
      <c r="D54">
        <v>13</v>
      </c>
      <c r="E54" t="s">
        <v>139</v>
      </c>
      <c r="F54">
        <v>2014</v>
      </c>
      <c r="G54">
        <v>486357</v>
      </c>
      <c r="H54">
        <v>463473</v>
      </c>
      <c r="I54">
        <v>86347</v>
      </c>
      <c r="J54">
        <v>74710</v>
      </c>
      <c r="K54">
        <v>66467</v>
      </c>
      <c r="L54">
        <v>12443</v>
      </c>
      <c r="M54">
        <v>10722</v>
      </c>
      <c r="N54">
        <v>8341</v>
      </c>
      <c r="O54">
        <v>7600</v>
      </c>
      <c r="P54">
        <v>5531</v>
      </c>
      <c r="Q54">
        <v>4164</v>
      </c>
      <c r="R54">
        <v>3658</v>
      </c>
      <c r="S54">
        <v>3424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1233237</v>
      </c>
    </row>
    <row r="55" spans="1:50" x14ac:dyDescent="0.2">
      <c r="A55" t="s">
        <v>3</v>
      </c>
      <c r="C55">
        <v>53</v>
      </c>
      <c r="D55">
        <v>10</v>
      </c>
      <c r="E55" t="s">
        <v>140</v>
      </c>
      <c r="F55">
        <v>2014</v>
      </c>
      <c r="G55">
        <v>446511</v>
      </c>
      <c r="H55">
        <v>360491</v>
      </c>
      <c r="I55">
        <v>62730</v>
      </c>
      <c r="J55">
        <v>40489</v>
      </c>
      <c r="K55">
        <v>24910</v>
      </c>
      <c r="L55">
        <v>16667</v>
      </c>
      <c r="M55">
        <v>10725</v>
      </c>
      <c r="N55">
        <v>8712</v>
      </c>
      <c r="O55">
        <v>5207</v>
      </c>
      <c r="P55">
        <v>4246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980688</v>
      </c>
    </row>
    <row r="56" spans="1:50" x14ac:dyDescent="0.2">
      <c r="A56" t="s">
        <v>3</v>
      </c>
      <c r="C56">
        <v>54</v>
      </c>
      <c r="D56">
        <v>9</v>
      </c>
      <c r="E56" t="s">
        <v>141</v>
      </c>
      <c r="F56">
        <v>2014</v>
      </c>
      <c r="G56">
        <v>494146</v>
      </c>
      <c r="H56">
        <v>350587</v>
      </c>
      <c r="I56">
        <v>314012</v>
      </c>
      <c r="J56">
        <v>35142</v>
      </c>
      <c r="K56">
        <v>11325</v>
      </c>
      <c r="L56">
        <v>8782</v>
      </c>
      <c r="M56">
        <v>6835</v>
      </c>
      <c r="N56">
        <v>6462</v>
      </c>
      <c r="O56">
        <v>2783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1230074</v>
      </c>
    </row>
    <row r="57" spans="1:50" x14ac:dyDescent="0.2">
      <c r="A57" t="s">
        <v>3</v>
      </c>
      <c r="C57">
        <v>55</v>
      </c>
      <c r="D57">
        <v>14</v>
      </c>
      <c r="E57" t="s">
        <v>142</v>
      </c>
      <c r="F57">
        <v>2014</v>
      </c>
      <c r="G57">
        <v>443315</v>
      </c>
      <c r="H57">
        <v>349441</v>
      </c>
      <c r="I57">
        <v>231295</v>
      </c>
      <c r="J57">
        <v>78132</v>
      </c>
      <c r="K57">
        <v>12403</v>
      </c>
      <c r="L57">
        <v>9583</v>
      </c>
      <c r="M57">
        <v>9133</v>
      </c>
      <c r="N57">
        <v>8271</v>
      </c>
      <c r="O57">
        <v>6538</v>
      </c>
      <c r="P57">
        <v>5433</v>
      </c>
      <c r="Q57">
        <v>4985</v>
      </c>
      <c r="R57">
        <v>2966</v>
      </c>
      <c r="S57">
        <v>2584</v>
      </c>
      <c r="T57">
        <v>2411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1166490</v>
      </c>
    </row>
    <row r="58" spans="1:50" x14ac:dyDescent="0.2">
      <c r="A58" t="s">
        <v>3</v>
      </c>
      <c r="C58">
        <v>56</v>
      </c>
      <c r="D58">
        <v>11</v>
      </c>
      <c r="E58" t="s">
        <v>143</v>
      </c>
      <c r="F58">
        <v>2014</v>
      </c>
      <c r="G58">
        <v>456420</v>
      </c>
      <c r="H58">
        <v>354000</v>
      </c>
      <c r="I58">
        <v>46626</v>
      </c>
      <c r="J58">
        <v>28930</v>
      </c>
      <c r="K58">
        <v>14648</v>
      </c>
      <c r="L58">
        <v>7331</v>
      </c>
      <c r="M58">
        <v>5759</v>
      </c>
      <c r="N58">
        <v>5754</v>
      </c>
      <c r="O58">
        <v>4737</v>
      </c>
      <c r="P58">
        <v>3659</v>
      </c>
      <c r="Q58">
        <v>3472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931336</v>
      </c>
    </row>
    <row r="59" spans="1:50" x14ac:dyDescent="0.2">
      <c r="A59" t="s">
        <v>3</v>
      </c>
      <c r="C59">
        <v>57</v>
      </c>
      <c r="D59">
        <v>7</v>
      </c>
      <c r="E59" t="s">
        <v>144</v>
      </c>
      <c r="F59">
        <v>2014</v>
      </c>
      <c r="G59">
        <v>494364</v>
      </c>
      <c r="H59">
        <v>309017</v>
      </c>
      <c r="I59">
        <v>45710</v>
      </c>
      <c r="J59">
        <v>16809</v>
      </c>
      <c r="K59">
        <v>9374</v>
      </c>
      <c r="L59">
        <v>8582</v>
      </c>
      <c r="M59">
        <v>7112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890968</v>
      </c>
    </row>
    <row r="60" spans="1:50" x14ac:dyDescent="0.2">
      <c r="A60" t="s">
        <v>3</v>
      </c>
      <c r="C60">
        <v>58</v>
      </c>
      <c r="D60">
        <v>14</v>
      </c>
      <c r="E60" t="s">
        <v>145</v>
      </c>
      <c r="F60">
        <v>2014</v>
      </c>
      <c r="G60">
        <v>612543</v>
      </c>
      <c r="H60">
        <v>320405</v>
      </c>
      <c r="I60">
        <v>81753</v>
      </c>
      <c r="J60">
        <v>37343</v>
      </c>
      <c r="K60">
        <v>11204</v>
      </c>
      <c r="L60">
        <v>9095</v>
      </c>
      <c r="M60">
        <v>6896</v>
      </c>
      <c r="N60">
        <v>6335</v>
      </c>
      <c r="O60">
        <v>6013</v>
      </c>
      <c r="P60">
        <v>5903</v>
      </c>
      <c r="Q60">
        <v>4721</v>
      </c>
      <c r="R60">
        <v>4119</v>
      </c>
      <c r="S60">
        <v>2893</v>
      </c>
      <c r="T60">
        <v>2752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1111975</v>
      </c>
    </row>
    <row r="61" spans="1:50" x14ac:dyDescent="0.2">
      <c r="A61" t="s">
        <v>4</v>
      </c>
      <c r="C61">
        <v>59</v>
      </c>
      <c r="D61">
        <v>15</v>
      </c>
      <c r="E61" t="s">
        <v>146</v>
      </c>
      <c r="F61">
        <v>2014</v>
      </c>
      <c r="G61">
        <v>364013</v>
      </c>
      <c r="H61">
        <v>246218</v>
      </c>
      <c r="I61">
        <v>81612</v>
      </c>
      <c r="J61">
        <v>58817</v>
      </c>
      <c r="K61">
        <v>35888</v>
      </c>
      <c r="L61">
        <v>27603</v>
      </c>
      <c r="M61">
        <v>15515</v>
      </c>
      <c r="N61">
        <v>12581</v>
      </c>
      <c r="O61">
        <v>11668</v>
      </c>
      <c r="P61">
        <v>11509</v>
      </c>
      <c r="Q61">
        <v>10786</v>
      </c>
      <c r="R61">
        <v>8013</v>
      </c>
      <c r="S61">
        <v>6008</v>
      </c>
      <c r="T61">
        <v>5525</v>
      </c>
      <c r="U61">
        <v>4371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900127</v>
      </c>
    </row>
    <row r="62" spans="1:50" x14ac:dyDescent="0.2">
      <c r="A62" t="s">
        <v>4</v>
      </c>
      <c r="C62">
        <v>60</v>
      </c>
      <c r="D62">
        <v>13</v>
      </c>
      <c r="E62" t="s">
        <v>147</v>
      </c>
      <c r="F62">
        <v>2014</v>
      </c>
      <c r="G62">
        <v>371232</v>
      </c>
      <c r="H62">
        <v>260978</v>
      </c>
      <c r="I62">
        <v>121800</v>
      </c>
      <c r="J62">
        <v>18804</v>
      </c>
      <c r="K62">
        <v>17157</v>
      </c>
      <c r="L62">
        <v>12415</v>
      </c>
      <c r="M62">
        <v>11260</v>
      </c>
      <c r="N62">
        <v>10502</v>
      </c>
      <c r="O62">
        <v>9123</v>
      </c>
      <c r="P62">
        <v>6474</v>
      </c>
      <c r="Q62">
        <v>5818</v>
      </c>
      <c r="R62">
        <v>4940</v>
      </c>
      <c r="S62">
        <v>4297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854800</v>
      </c>
    </row>
    <row r="63" spans="1:50" x14ac:dyDescent="0.2">
      <c r="A63" t="s">
        <v>4</v>
      </c>
      <c r="C63">
        <v>61</v>
      </c>
      <c r="D63">
        <v>16</v>
      </c>
      <c r="E63" t="s">
        <v>148</v>
      </c>
      <c r="F63">
        <v>2014</v>
      </c>
      <c r="G63">
        <v>400452</v>
      </c>
      <c r="H63">
        <v>208289</v>
      </c>
      <c r="I63">
        <v>128604</v>
      </c>
      <c r="J63">
        <v>13261</v>
      </c>
      <c r="K63">
        <v>11371</v>
      </c>
      <c r="L63">
        <v>10759</v>
      </c>
      <c r="M63">
        <v>10505</v>
      </c>
      <c r="N63">
        <v>10356</v>
      </c>
      <c r="O63">
        <v>7512</v>
      </c>
      <c r="P63">
        <v>4893</v>
      </c>
      <c r="Q63">
        <v>3027</v>
      </c>
      <c r="R63">
        <v>2946</v>
      </c>
      <c r="S63">
        <v>2819</v>
      </c>
      <c r="T63">
        <v>2811</v>
      </c>
      <c r="U63">
        <v>2607</v>
      </c>
      <c r="V63">
        <v>2459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822671</v>
      </c>
    </row>
    <row r="64" spans="1:50" x14ac:dyDescent="0.2">
      <c r="A64" t="s">
        <v>4</v>
      </c>
      <c r="C64">
        <v>62</v>
      </c>
      <c r="D64">
        <v>16</v>
      </c>
      <c r="E64" t="s">
        <v>149</v>
      </c>
      <c r="F64">
        <v>2014</v>
      </c>
      <c r="G64">
        <v>372506</v>
      </c>
      <c r="H64">
        <v>236267</v>
      </c>
      <c r="I64">
        <v>79108</v>
      </c>
      <c r="J64">
        <v>46008</v>
      </c>
      <c r="K64">
        <v>26446</v>
      </c>
      <c r="L64">
        <v>18681</v>
      </c>
      <c r="M64">
        <v>12161</v>
      </c>
      <c r="N64">
        <v>11670</v>
      </c>
      <c r="O64">
        <v>8256</v>
      </c>
      <c r="P64">
        <v>8245</v>
      </c>
      <c r="Q64">
        <v>5941</v>
      </c>
      <c r="R64">
        <v>4641</v>
      </c>
      <c r="S64">
        <v>4399</v>
      </c>
      <c r="T64">
        <v>3072</v>
      </c>
      <c r="U64">
        <v>2845</v>
      </c>
      <c r="V64">
        <v>2648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842894</v>
      </c>
    </row>
    <row r="65" spans="1:50" x14ac:dyDescent="0.2">
      <c r="A65" t="s">
        <v>4</v>
      </c>
      <c r="C65">
        <v>63</v>
      </c>
      <c r="D65">
        <v>20</v>
      </c>
      <c r="E65" t="s">
        <v>150</v>
      </c>
      <c r="F65">
        <v>2014</v>
      </c>
      <c r="G65">
        <v>411265</v>
      </c>
      <c r="H65">
        <v>263300</v>
      </c>
      <c r="I65">
        <v>97188</v>
      </c>
      <c r="J65">
        <v>20613</v>
      </c>
      <c r="K65">
        <v>18043</v>
      </c>
      <c r="L65">
        <v>11250</v>
      </c>
      <c r="M65">
        <v>8846</v>
      </c>
      <c r="N65">
        <v>8521</v>
      </c>
      <c r="O65">
        <v>7853</v>
      </c>
      <c r="P65">
        <v>7586</v>
      </c>
      <c r="Q65">
        <v>6115</v>
      </c>
      <c r="R65">
        <v>6078</v>
      </c>
      <c r="S65">
        <v>5949</v>
      </c>
      <c r="T65">
        <v>5454</v>
      </c>
      <c r="U65">
        <v>4692</v>
      </c>
      <c r="V65">
        <v>4501</v>
      </c>
      <c r="W65">
        <v>3880</v>
      </c>
      <c r="X65">
        <v>3695</v>
      </c>
      <c r="Y65">
        <v>2996</v>
      </c>
      <c r="Z65">
        <v>2763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900588</v>
      </c>
    </row>
    <row r="66" spans="1:50" x14ac:dyDescent="0.2">
      <c r="A66" t="s">
        <v>4</v>
      </c>
      <c r="C66">
        <v>64</v>
      </c>
      <c r="D66">
        <v>12</v>
      </c>
      <c r="E66" t="s">
        <v>151</v>
      </c>
      <c r="F66">
        <v>2014</v>
      </c>
      <c r="G66">
        <v>358040</v>
      </c>
      <c r="H66">
        <v>337505</v>
      </c>
      <c r="I66">
        <v>56392</v>
      </c>
      <c r="J66">
        <v>30942</v>
      </c>
      <c r="K66">
        <v>18937</v>
      </c>
      <c r="L66">
        <v>10115</v>
      </c>
      <c r="M66">
        <v>9718</v>
      </c>
      <c r="N66">
        <v>9474</v>
      </c>
      <c r="O66">
        <v>8464</v>
      </c>
      <c r="P66">
        <v>7453</v>
      </c>
      <c r="Q66">
        <v>6750</v>
      </c>
      <c r="R66">
        <v>6663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860453</v>
      </c>
    </row>
    <row r="67" spans="1:50" x14ac:dyDescent="0.2">
      <c r="A67" t="s">
        <v>4</v>
      </c>
      <c r="C67">
        <v>65</v>
      </c>
      <c r="D67">
        <v>20</v>
      </c>
      <c r="E67" t="s">
        <v>152</v>
      </c>
      <c r="F67">
        <v>2014</v>
      </c>
      <c r="G67">
        <v>335481</v>
      </c>
      <c r="H67">
        <v>280073</v>
      </c>
      <c r="I67">
        <v>183591</v>
      </c>
      <c r="J67">
        <v>17790</v>
      </c>
      <c r="K67">
        <v>14190</v>
      </c>
      <c r="L67">
        <v>13833</v>
      </c>
      <c r="M67">
        <v>9823</v>
      </c>
      <c r="N67">
        <v>9441</v>
      </c>
      <c r="O67">
        <v>9388</v>
      </c>
      <c r="P67">
        <v>8689</v>
      </c>
      <c r="Q67">
        <v>8083</v>
      </c>
      <c r="R67">
        <v>8043</v>
      </c>
      <c r="S67">
        <v>7632</v>
      </c>
      <c r="T67">
        <v>7358</v>
      </c>
      <c r="U67">
        <v>5653</v>
      </c>
      <c r="V67">
        <v>5439</v>
      </c>
      <c r="W67">
        <v>4811</v>
      </c>
      <c r="X67">
        <v>4248</v>
      </c>
      <c r="Y67">
        <v>3956</v>
      </c>
      <c r="Z67">
        <v>3727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941249</v>
      </c>
    </row>
    <row r="68" spans="1:50" x14ac:dyDescent="0.2">
      <c r="A68" t="s">
        <v>4</v>
      </c>
      <c r="C68">
        <v>66</v>
      </c>
      <c r="D68">
        <v>13</v>
      </c>
      <c r="E68" t="s">
        <v>153</v>
      </c>
      <c r="F68">
        <v>2014</v>
      </c>
      <c r="G68">
        <v>332927</v>
      </c>
      <c r="H68">
        <v>273255</v>
      </c>
      <c r="I68">
        <v>249693</v>
      </c>
      <c r="J68">
        <v>21996</v>
      </c>
      <c r="K68">
        <v>21233</v>
      </c>
      <c r="L68">
        <v>14754</v>
      </c>
      <c r="M68">
        <v>11566</v>
      </c>
      <c r="N68">
        <v>10687</v>
      </c>
      <c r="O68">
        <v>9604</v>
      </c>
      <c r="P68">
        <v>8908</v>
      </c>
      <c r="Q68">
        <v>5964</v>
      </c>
      <c r="R68">
        <v>5116</v>
      </c>
      <c r="S68">
        <v>4825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970528</v>
      </c>
    </row>
    <row r="69" spans="1:50" x14ac:dyDescent="0.2">
      <c r="A69" t="s">
        <v>4</v>
      </c>
      <c r="C69">
        <v>67</v>
      </c>
      <c r="D69">
        <v>14</v>
      </c>
      <c r="E69" t="s">
        <v>154</v>
      </c>
      <c r="F69">
        <v>2014</v>
      </c>
      <c r="G69">
        <v>407978</v>
      </c>
      <c r="H69">
        <v>261474</v>
      </c>
      <c r="I69">
        <v>221769</v>
      </c>
      <c r="J69">
        <v>17724</v>
      </c>
      <c r="K69">
        <v>16608</v>
      </c>
      <c r="L69">
        <v>10704</v>
      </c>
      <c r="M69">
        <v>6376</v>
      </c>
      <c r="N69">
        <v>5685</v>
      </c>
      <c r="O69">
        <v>5645</v>
      </c>
      <c r="P69">
        <v>5292</v>
      </c>
      <c r="Q69">
        <v>5149</v>
      </c>
      <c r="R69">
        <v>4646</v>
      </c>
      <c r="S69">
        <v>3411</v>
      </c>
      <c r="T69">
        <v>3350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975811</v>
      </c>
    </row>
    <row r="70" spans="1:50" x14ac:dyDescent="0.2">
      <c r="A70" t="s">
        <v>4</v>
      </c>
      <c r="C70">
        <v>68</v>
      </c>
      <c r="D70">
        <v>11</v>
      </c>
      <c r="E70" t="s">
        <v>155</v>
      </c>
      <c r="F70">
        <v>2014</v>
      </c>
      <c r="G70">
        <v>493461</v>
      </c>
      <c r="H70">
        <v>298849</v>
      </c>
      <c r="I70">
        <v>55822</v>
      </c>
      <c r="J70">
        <v>17206</v>
      </c>
      <c r="K70">
        <v>15010</v>
      </c>
      <c r="L70">
        <v>14903</v>
      </c>
      <c r="M70">
        <v>11392</v>
      </c>
      <c r="N70">
        <v>5714</v>
      </c>
      <c r="O70">
        <v>5559</v>
      </c>
      <c r="P70">
        <v>5422</v>
      </c>
      <c r="Q70">
        <v>5152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928490</v>
      </c>
    </row>
    <row r="71" spans="1:50" x14ac:dyDescent="0.2">
      <c r="A71" t="s">
        <v>4</v>
      </c>
      <c r="C71">
        <v>69</v>
      </c>
      <c r="D71">
        <v>22</v>
      </c>
      <c r="E71" t="s">
        <v>156</v>
      </c>
      <c r="F71">
        <v>2014</v>
      </c>
      <c r="G71">
        <v>431292</v>
      </c>
      <c r="H71">
        <v>316552</v>
      </c>
      <c r="I71">
        <v>100765</v>
      </c>
      <c r="J71">
        <v>33593</v>
      </c>
      <c r="K71">
        <v>15547</v>
      </c>
      <c r="L71">
        <v>10516</v>
      </c>
      <c r="M71">
        <v>9461</v>
      </c>
      <c r="N71">
        <v>9000</v>
      </c>
      <c r="O71">
        <v>8392</v>
      </c>
      <c r="P71">
        <v>7969</v>
      </c>
      <c r="Q71">
        <v>4514</v>
      </c>
      <c r="R71">
        <v>4450</v>
      </c>
      <c r="S71">
        <v>4323</v>
      </c>
      <c r="T71">
        <v>3287</v>
      </c>
      <c r="U71">
        <v>3096</v>
      </c>
      <c r="V71">
        <v>2685</v>
      </c>
      <c r="W71">
        <v>2550</v>
      </c>
      <c r="X71">
        <v>2489</v>
      </c>
      <c r="Y71">
        <v>2141</v>
      </c>
      <c r="Z71">
        <v>1980</v>
      </c>
      <c r="AA71">
        <v>1675</v>
      </c>
      <c r="AB71">
        <v>1553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977830</v>
      </c>
    </row>
    <row r="72" spans="1:50" x14ac:dyDescent="0.2">
      <c r="A72" t="s">
        <v>4</v>
      </c>
      <c r="C72">
        <v>70</v>
      </c>
      <c r="D72">
        <v>18</v>
      </c>
      <c r="E72" t="s">
        <v>157</v>
      </c>
      <c r="F72">
        <v>2014</v>
      </c>
      <c r="G72">
        <v>418826</v>
      </c>
      <c r="H72">
        <v>302157</v>
      </c>
      <c r="I72">
        <v>124344</v>
      </c>
      <c r="J72">
        <v>50446</v>
      </c>
      <c r="K72">
        <v>18776</v>
      </c>
      <c r="L72">
        <v>16630</v>
      </c>
      <c r="M72">
        <v>11982</v>
      </c>
      <c r="N72">
        <v>11196</v>
      </c>
      <c r="O72">
        <v>9196</v>
      </c>
      <c r="P72">
        <v>9162</v>
      </c>
      <c r="Q72">
        <v>8321</v>
      </c>
      <c r="R72">
        <v>7912</v>
      </c>
      <c r="S72">
        <v>6324</v>
      </c>
      <c r="T72">
        <v>5849</v>
      </c>
      <c r="U72">
        <v>5137</v>
      </c>
      <c r="V72">
        <v>4664</v>
      </c>
      <c r="W72">
        <v>3440</v>
      </c>
      <c r="X72">
        <v>3370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1017732</v>
      </c>
    </row>
    <row r="73" spans="1:50" x14ac:dyDescent="0.2">
      <c r="A73" t="s">
        <v>4</v>
      </c>
      <c r="C73">
        <v>71</v>
      </c>
      <c r="D73">
        <v>13</v>
      </c>
      <c r="E73" t="s">
        <v>158</v>
      </c>
      <c r="F73">
        <v>2014</v>
      </c>
      <c r="G73">
        <v>368937</v>
      </c>
      <c r="H73">
        <v>312728</v>
      </c>
      <c r="I73">
        <v>252534</v>
      </c>
      <c r="J73">
        <v>21924</v>
      </c>
      <c r="K73">
        <v>18084</v>
      </c>
      <c r="L73">
        <v>12247</v>
      </c>
      <c r="M73">
        <v>9585</v>
      </c>
      <c r="N73">
        <v>9538</v>
      </c>
      <c r="O73">
        <v>9039</v>
      </c>
      <c r="P73">
        <v>6649</v>
      </c>
      <c r="Q73">
        <v>5370</v>
      </c>
      <c r="R73">
        <v>4396</v>
      </c>
      <c r="S73">
        <v>3768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1034799</v>
      </c>
    </row>
    <row r="74" spans="1:50" x14ac:dyDescent="0.2">
      <c r="A74" t="s">
        <v>4</v>
      </c>
      <c r="C74">
        <v>72</v>
      </c>
      <c r="D74">
        <v>16</v>
      </c>
      <c r="E74" t="s">
        <v>159</v>
      </c>
      <c r="F74">
        <v>2014</v>
      </c>
      <c r="G74">
        <v>314949</v>
      </c>
      <c r="H74">
        <v>279906</v>
      </c>
      <c r="I74">
        <v>104494</v>
      </c>
      <c r="J74">
        <v>25277</v>
      </c>
      <c r="K74">
        <v>21103</v>
      </c>
      <c r="L74">
        <v>16125</v>
      </c>
      <c r="M74">
        <v>11606</v>
      </c>
      <c r="N74">
        <v>10080</v>
      </c>
      <c r="O74">
        <v>9111</v>
      </c>
      <c r="P74">
        <v>8835</v>
      </c>
      <c r="Q74">
        <v>7550</v>
      </c>
      <c r="R74">
        <v>5963</v>
      </c>
      <c r="S74">
        <v>4558</v>
      </c>
      <c r="T74">
        <v>2956</v>
      </c>
      <c r="U74">
        <v>2929</v>
      </c>
      <c r="V74">
        <v>2900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828342</v>
      </c>
    </row>
    <row r="75" spans="1:50" x14ac:dyDescent="0.2">
      <c r="A75" t="s">
        <v>4</v>
      </c>
      <c r="C75">
        <v>73</v>
      </c>
      <c r="D75">
        <v>30</v>
      </c>
      <c r="E75" t="s">
        <v>160</v>
      </c>
      <c r="F75">
        <v>2014</v>
      </c>
      <c r="G75">
        <v>469295</v>
      </c>
      <c r="H75">
        <v>246873</v>
      </c>
      <c r="I75">
        <v>85140</v>
      </c>
      <c r="J75">
        <v>19945</v>
      </c>
      <c r="K75">
        <v>13283</v>
      </c>
      <c r="L75">
        <v>9690</v>
      </c>
      <c r="M75">
        <v>9202</v>
      </c>
      <c r="N75">
        <v>9069</v>
      </c>
      <c r="O75">
        <v>8223</v>
      </c>
      <c r="P75">
        <v>7978</v>
      </c>
      <c r="Q75">
        <v>7569</v>
      </c>
      <c r="R75">
        <v>6945</v>
      </c>
      <c r="S75">
        <v>6118</v>
      </c>
      <c r="T75">
        <v>5211</v>
      </c>
      <c r="U75">
        <v>4309</v>
      </c>
      <c r="V75">
        <v>3746</v>
      </c>
      <c r="W75">
        <v>3734</v>
      </c>
      <c r="X75">
        <v>3365</v>
      </c>
      <c r="Y75">
        <v>3334</v>
      </c>
      <c r="Z75">
        <v>3147</v>
      </c>
      <c r="AA75">
        <v>2755</v>
      </c>
      <c r="AB75">
        <v>2471</v>
      </c>
      <c r="AC75">
        <v>2370</v>
      </c>
      <c r="AD75">
        <v>2364</v>
      </c>
      <c r="AE75">
        <v>2354</v>
      </c>
      <c r="AF75">
        <v>2299</v>
      </c>
      <c r="AG75">
        <v>2271</v>
      </c>
      <c r="AH75">
        <v>2269</v>
      </c>
      <c r="AI75">
        <v>1809</v>
      </c>
      <c r="AJ75">
        <v>1749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948887</v>
      </c>
    </row>
    <row r="76" spans="1:50" x14ac:dyDescent="0.2">
      <c r="A76" t="s">
        <v>4</v>
      </c>
      <c r="C76">
        <v>74</v>
      </c>
      <c r="D76">
        <v>23</v>
      </c>
      <c r="E76" t="s">
        <v>161</v>
      </c>
      <c r="F76">
        <v>2014</v>
      </c>
      <c r="G76">
        <v>305450</v>
      </c>
      <c r="H76">
        <v>206183</v>
      </c>
      <c r="I76">
        <v>145182</v>
      </c>
      <c r="J76">
        <v>104229</v>
      </c>
      <c r="K76">
        <v>23677</v>
      </c>
      <c r="L76">
        <v>22455</v>
      </c>
      <c r="M76">
        <v>15178</v>
      </c>
      <c r="N76">
        <v>12369</v>
      </c>
      <c r="O76">
        <v>11540</v>
      </c>
      <c r="P76">
        <v>11075</v>
      </c>
      <c r="Q76">
        <v>8254</v>
      </c>
      <c r="R76">
        <v>7768</v>
      </c>
      <c r="S76">
        <v>7182</v>
      </c>
      <c r="T76">
        <v>6430</v>
      </c>
      <c r="U76">
        <v>6060</v>
      </c>
      <c r="V76">
        <v>5497</v>
      </c>
      <c r="W76">
        <v>5483</v>
      </c>
      <c r="X76">
        <v>5218</v>
      </c>
      <c r="Y76">
        <v>4000</v>
      </c>
      <c r="Z76">
        <v>3866</v>
      </c>
      <c r="AA76">
        <v>3191</v>
      </c>
      <c r="AB76">
        <v>2983</v>
      </c>
      <c r="AC76">
        <v>2667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925937</v>
      </c>
    </row>
    <row r="77" spans="1:50" x14ac:dyDescent="0.2">
      <c r="A77" t="s">
        <v>4</v>
      </c>
      <c r="C77">
        <v>75</v>
      </c>
      <c r="D77">
        <v>15</v>
      </c>
      <c r="E77" t="s">
        <v>162</v>
      </c>
      <c r="F77">
        <v>2014</v>
      </c>
      <c r="G77">
        <v>478773</v>
      </c>
      <c r="H77">
        <v>191837</v>
      </c>
      <c r="I77">
        <v>100419</v>
      </c>
      <c r="J77">
        <v>17841</v>
      </c>
      <c r="K77">
        <v>16751</v>
      </c>
      <c r="L77">
        <v>16680</v>
      </c>
      <c r="M77">
        <v>14162</v>
      </c>
      <c r="N77">
        <v>13983</v>
      </c>
      <c r="O77">
        <v>12423</v>
      </c>
      <c r="P77">
        <v>9509</v>
      </c>
      <c r="Q77">
        <v>8491</v>
      </c>
      <c r="R77">
        <v>7147</v>
      </c>
      <c r="S77">
        <v>6264</v>
      </c>
      <c r="T77">
        <v>4717</v>
      </c>
      <c r="U77">
        <v>4586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903583</v>
      </c>
    </row>
    <row r="78" spans="1:50" x14ac:dyDescent="0.2">
      <c r="A78" t="s">
        <v>4</v>
      </c>
      <c r="C78">
        <v>76</v>
      </c>
      <c r="D78">
        <v>14</v>
      </c>
      <c r="E78" t="s">
        <v>163</v>
      </c>
      <c r="F78">
        <v>2014</v>
      </c>
      <c r="G78">
        <v>372670</v>
      </c>
      <c r="H78">
        <v>258823</v>
      </c>
      <c r="I78">
        <v>81006</v>
      </c>
      <c r="J78">
        <v>79239</v>
      </c>
      <c r="K78">
        <v>21409</v>
      </c>
      <c r="L78">
        <v>14584</v>
      </c>
      <c r="M78">
        <v>11757</v>
      </c>
      <c r="N78">
        <v>10542</v>
      </c>
      <c r="O78">
        <v>9580</v>
      </c>
      <c r="P78">
        <v>8851</v>
      </c>
      <c r="Q78">
        <v>5683</v>
      </c>
      <c r="R78">
        <v>4016</v>
      </c>
      <c r="S78">
        <v>3250</v>
      </c>
      <c r="T78">
        <v>2611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884021</v>
      </c>
    </row>
    <row r="79" spans="1:50" x14ac:dyDescent="0.2">
      <c r="A79" t="s">
        <v>4</v>
      </c>
      <c r="C79">
        <v>77</v>
      </c>
      <c r="D79">
        <v>11</v>
      </c>
      <c r="E79" t="s">
        <v>164</v>
      </c>
      <c r="F79">
        <v>2014</v>
      </c>
      <c r="G79">
        <v>320753</v>
      </c>
      <c r="H79">
        <v>282338</v>
      </c>
      <c r="I79">
        <v>149483</v>
      </c>
      <c r="J79">
        <v>23404</v>
      </c>
      <c r="K79">
        <v>17186</v>
      </c>
      <c r="L79">
        <v>11599</v>
      </c>
      <c r="M79">
        <v>11189</v>
      </c>
      <c r="N79">
        <v>10602</v>
      </c>
      <c r="O79">
        <v>8874</v>
      </c>
      <c r="P79">
        <v>6430</v>
      </c>
      <c r="Q79">
        <v>4796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846654</v>
      </c>
    </row>
    <row r="80" spans="1:50" x14ac:dyDescent="0.2">
      <c r="A80" t="s">
        <v>4</v>
      </c>
      <c r="C80">
        <v>78</v>
      </c>
      <c r="D80">
        <v>12</v>
      </c>
      <c r="E80" t="s">
        <v>165</v>
      </c>
      <c r="F80">
        <v>2014</v>
      </c>
      <c r="G80">
        <v>355120</v>
      </c>
      <c r="H80">
        <v>314172</v>
      </c>
      <c r="I80">
        <v>107008</v>
      </c>
      <c r="J80">
        <v>19163</v>
      </c>
      <c r="K80">
        <v>15500</v>
      </c>
      <c r="L80">
        <v>14688</v>
      </c>
      <c r="M80">
        <v>9957</v>
      </c>
      <c r="N80">
        <v>9747</v>
      </c>
      <c r="O80">
        <v>6765</v>
      </c>
      <c r="P80">
        <v>5099</v>
      </c>
      <c r="Q80">
        <v>3217</v>
      </c>
      <c r="R80">
        <v>2818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863254</v>
      </c>
    </row>
    <row r="81" spans="1:50" x14ac:dyDescent="0.2">
      <c r="A81" t="s">
        <v>4</v>
      </c>
      <c r="C81">
        <v>79</v>
      </c>
      <c r="D81">
        <v>16</v>
      </c>
      <c r="E81" t="s">
        <v>166</v>
      </c>
      <c r="F81">
        <v>2014</v>
      </c>
      <c r="G81">
        <v>455652</v>
      </c>
      <c r="H81">
        <v>230152</v>
      </c>
      <c r="I81">
        <v>95790</v>
      </c>
      <c r="J81">
        <v>24399</v>
      </c>
      <c r="K81">
        <v>21045</v>
      </c>
      <c r="L81">
        <v>15047</v>
      </c>
      <c r="M81">
        <v>12688</v>
      </c>
      <c r="N81">
        <v>8957</v>
      </c>
      <c r="O81">
        <v>8896</v>
      </c>
      <c r="P81">
        <v>7544</v>
      </c>
      <c r="Q81">
        <v>6344</v>
      </c>
      <c r="R81">
        <v>4185</v>
      </c>
      <c r="S81">
        <v>3882</v>
      </c>
      <c r="T81">
        <v>3711</v>
      </c>
      <c r="U81">
        <v>3216</v>
      </c>
      <c r="V81">
        <v>3198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904706</v>
      </c>
    </row>
    <row r="82" spans="1:50" x14ac:dyDescent="0.2">
      <c r="A82" t="s">
        <v>4</v>
      </c>
      <c r="C82">
        <v>80</v>
      </c>
      <c r="D82">
        <v>20</v>
      </c>
      <c r="E82" t="s">
        <v>167</v>
      </c>
      <c r="F82">
        <v>2014</v>
      </c>
      <c r="G82">
        <v>317352</v>
      </c>
      <c r="H82">
        <v>256883</v>
      </c>
      <c r="I82">
        <v>119669</v>
      </c>
      <c r="J82">
        <v>53044</v>
      </c>
      <c r="K82">
        <v>15198</v>
      </c>
      <c r="L82">
        <v>12520</v>
      </c>
      <c r="M82">
        <v>11990</v>
      </c>
      <c r="N82">
        <v>8917</v>
      </c>
      <c r="O82">
        <v>7969</v>
      </c>
      <c r="P82">
        <v>7810</v>
      </c>
      <c r="Q82">
        <v>7661</v>
      </c>
      <c r="R82">
        <v>6967</v>
      </c>
      <c r="S82">
        <v>6171</v>
      </c>
      <c r="T82">
        <v>5669</v>
      </c>
      <c r="U82">
        <v>5631</v>
      </c>
      <c r="V82">
        <v>4201</v>
      </c>
      <c r="W82">
        <v>3152</v>
      </c>
      <c r="X82">
        <v>3098</v>
      </c>
      <c r="Y82">
        <v>2536</v>
      </c>
      <c r="Z82">
        <v>2482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858920</v>
      </c>
    </row>
    <row r="83" spans="1:50" x14ac:dyDescent="0.2">
      <c r="A83" t="s">
        <v>4</v>
      </c>
      <c r="C83">
        <v>81</v>
      </c>
      <c r="D83">
        <v>13</v>
      </c>
      <c r="E83" t="s">
        <v>168</v>
      </c>
      <c r="F83">
        <v>2014</v>
      </c>
      <c r="G83">
        <v>270401</v>
      </c>
      <c r="H83">
        <v>263529</v>
      </c>
      <c r="I83">
        <v>200124</v>
      </c>
      <c r="J83">
        <v>29211</v>
      </c>
      <c r="K83">
        <v>15837</v>
      </c>
      <c r="L83">
        <v>13504</v>
      </c>
      <c r="M83">
        <v>12813</v>
      </c>
      <c r="N83">
        <v>12322</v>
      </c>
      <c r="O83">
        <v>11813</v>
      </c>
      <c r="P83">
        <v>9954</v>
      </c>
      <c r="Q83">
        <v>9665</v>
      </c>
      <c r="R83">
        <v>7423</v>
      </c>
      <c r="S83">
        <v>6603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863199</v>
      </c>
    </row>
    <row r="84" spans="1:50" x14ac:dyDescent="0.2">
      <c r="A84" t="s">
        <v>4</v>
      </c>
      <c r="C84">
        <v>82</v>
      </c>
      <c r="D84">
        <v>13</v>
      </c>
      <c r="E84" t="s">
        <v>169</v>
      </c>
      <c r="F84">
        <v>2014</v>
      </c>
      <c r="G84">
        <v>428227</v>
      </c>
      <c r="H84">
        <v>369892</v>
      </c>
      <c r="I84">
        <v>192639</v>
      </c>
      <c r="J84">
        <v>26622</v>
      </c>
      <c r="K84">
        <v>12143</v>
      </c>
      <c r="L84">
        <v>11144</v>
      </c>
      <c r="M84">
        <v>9014</v>
      </c>
      <c r="N84">
        <v>8639</v>
      </c>
      <c r="O84">
        <v>4858</v>
      </c>
      <c r="P84">
        <v>4605</v>
      </c>
      <c r="Q84">
        <v>3405</v>
      </c>
      <c r="R84">
        <v>3344</v>
      </c>
      <c r="S84">
        <v>3323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1077855</v>
      </c>
    </row>
    <row r="85" spans="1:50" x14ac:dyDescent="0.2">
      <c r="A85" t="s">
        <v>4</v>
      </c>
      <c r="C85">
        <v>83</v>
      </c>
      <c r="D85">
        <v>14</v>
      </c>
      <c r="E85" t="s">
        <v>170</v>
      </c>
      <c r="F85">
        <v>2014</v>
      </c>
      <c r="G85">
        <v>313806</v>
      </c>
      <c r="H85">
        <v>237803</v>
      </c>
      <c r="I85">
        <v>220316</v>
      </c>
      <c r="J85">
        <v>24490</v>
      </c>
      <c r="K85">
        <v>23868</v>
      </c>
      <c r="L85">
        <v>14926</v>
      </c>
      <c r="M85">
        <v>14491</v>
      </c>
      <c r="N85">
        <v>13888</v>
      </c>
      <c r="O85">
        <v>6651</v>
      </c>
      <c r="P85">
        <v>6480</v>
      </c>
      <c r="Q85">
        <v>5722</v>
      </c>
      <c r="R85">
        <v>5215</v>
      </c>
      <c r="S85">
        <v>4522</v>
      </c>
      <c r="T85">
        <v>4053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896231</v>
      </c>
    </row>
    <row r="86" spans="1:50" x14ac:dyDescent="0.2">
      <c r="A86" t="s">
        <v>4</v>
      </c>
      <c r="C86">
        <v>84</v>
      </c>
      <c r="D86">
        <v>19</v>
      </c>
      <c r="E86" t="s">
        <v>171</v>
      </c>
      <c r="F86">
        <v>2014</v>
      </c>
      <c r="G86">
        <v>367623</v>
      </c>
      <c r="H86">
        <v>358138</v>
      </c>
      <c r="I86">
        <v>132256</v>
      </c>
      <c r="J86">
        <v>18937</v>
      </c>
      <c r="K86">
        <v>12710</v>
      </c>
      <c r="L86">
        <v>11875</v>
      </c>
      <c r="M86">
        <v>11265</v>
      </c>
      <c r="N86">
        <v>9295</v>
      </c>
      <c r="O86">
        <v>8025</v>
      </c>
      <c r="P86">
        <v>7122</v>
      </c>
      <c r="Q86">
        <v>5830</v>
      </c>
      <c r="R86">
        <v>5778</v>
      </c>
      <c r="S86">
        <v>5165</v>
      </c>
      <c r="T86">
        <v>4734</v>
      </c>
      <c r="U86">
        <v>3444</v>
      </c>
      <c r="V86">
        <v>3251</v>
      </c>
      <c r="W86">
        <v>3147</v>
      </c>
      <c r="X86">
        <v>3005</v>
      </c>
      <c r="Y86">
        <v>2416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974016</v>
      </c>
    </row>
    <row r="87" spans="1:50" x14ac:dyDescent="0.2">
      <c r="A87" t="s">
        <v>4</v>
      </c>
      <c r="C87">
        <v>85</v>
      </c>
      <c r="D87">
        <v>18</v>
      </c>
      <c r="E87" t="s">
        <v>172</v>
      </c>
      <c r="F87">
        <v>2014</v>
      </c>
      <c r="G87">
        <v>285150</v>
      </c>
      <c r="H87">
        <v>275006</v>
      </c>
      <c r="I87">
        <v>220708</v>
      </c>
      <c r="J87">
        <v>30814</v>
      </c>
      <c r="K87">
        <v>12871</v>
      </c>
      <c r="L87">
        <v>11520</v>
      </c>
      <c r="M87">
        <v>11056</v>
      </c>
      <c r="N87">
        <v>10558</v>
      </c>
      <c r="O87">
        <v>9753</v>
      </c>
      <c r="P87">
        <v>6058</v>
      </c>
      <c r="Q87">
        <v>4721</v>
      </c>
      <c r="R87">
        <v>4412</v>
      </c>
      <c r="S87">
        <v>4317</v>
      </c>
      <c r="T87">
        <v>2977</v>
      </c>
      <c r="U87">
        <v>2481</v>
      </c>
      <c r="V87">
        <v>2405</v>
      </c>
      <c r="W87">
        <v>2280</v>
      </c>
      <c r="X87">
        <v>2266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899353</v>
      </c>
    </row>
    <row r="88" spans="1:50" x14ac:dyDescent="0.2">
      <c r="A88" t="s">
        <v>4</v>
      </c>
      <c r="C88">
        <v>86</v>
      </c>
      <c r="D88">
        <v>14</v>
      </c>
      <c r="E88" t="s">
        <v>173</v>
      </c>
      <c r="F88">
        <v>2014</v>
      </c>
      <c r="G88">
        <v>352911</v>
      </c>
      <c r="H88">
        <v>243827</v>
      </c>
      <c r="I88">
        <v>182971</v>
      </c>
      <c r="J88">
        <v>50469</v>
      </c>
      <c r="K88">
        <v>15420</v>
      </c>
      <c r="L88">
        <v>11225</v>
      </c>
      <c r="M88">
        <v>11122</v>
      </c>
      <c r="N88">
        <v>10264</v>
      </c>
      <c r="O88">
        <v>8112</v>
      </c>
      <c r="P88">
        <v>7481</v>
      </c>
      <c r="Q88">
        <v>6769</v>
      </c>
      <c r="R88">
        <v>5113</v>
      </c>
      <c r="S88">
        <v>4710</v>
      </c>
      <c r="T88">
        <v>3956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914350</v>
      </c>
    </row>
    <row r="89" spans="1:50" x14ac:dyDescent="0.2">
      <c r="A89" t="s">
        <v>4</v>
      </c>
      <c r="C89">
        <v>87</v>
      </c>
      <c r="D89">
        <v>23</v>
      </c>
      <c r="E89" t="s">
        <v>174</v>
      </c>
      <c r="F89">
        <v>2014</v>
      </c>
      <c r="G89">
        <v>321982</v>
      </c>
      <c r="H89">
        <v>312355</v>
      </c>
      <c r="I89">
        <v>127270</v>
      </c>
      <c r="J89">
        <v>23595</v>
      </c>
      <c r="K89">
        <v>19477</v>
      </c>
      <c r="L89">
        <v>18224</v>
      </c>
      <c r="M89">
        <v>15370</v>
      </c>
      <c r="N89">
        <v>13381</v>
      </c>
      <c r="O89">
        <v>8757</v>
      </c>
      <c r="P89">
        <v>7472</v>
      </c>
      <c r="Q89">
        <v>6788</v>
      </c>
      <c r="R89">
        <v>6346</v>
      </c>
      <c r="S89">
        <v>6048</v>
      </c>
      <c r="T89">
        <v>5452</v>
      </c>
      <c r="U89">
        <v>4613</v>
      </c>
      <c r="V89">
        <v>4600</v>
      </c>
      <c r="W89">
        <v>4236</v>
      </c>
      <c r="X89">
        <v>3620</v>
      </c>
      <c r="Y89">
        <v>2779</v>
      </c>
      <c r="Z89">
        <v>2604</v>
      </c>
      <c r="AA89">
        <v>2342</v>
      </c>
      <c r="AB89">
        <v>2237</v>
      </c>
      <c r="AC89">
        <v>2213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921761</v>
      </c>
    </row>
    <row r="90" spans="1:50" x14ac:dyDescent="0.2">
      <c r="A90" t="s">
        <v>4</v>
      </c>
      <c r="C90">
        <v>88</v>
      </c>
      <c r="D90">
        <v>19</v>
      </c>
      <c r="E90" t="s">
        <v>175</v>
      </c>
      <c r="F90">
        <v>2014</v>
      </c>
      <c r="G90">
        <v>485905</v>
      </c>
      <c r="H90">
        <v>220100</v>
      </c>
      <c r="I90">
        <v>91024</v>
      </c>
      <c r="J90">
        <v>16381</v>
      </c>
      <c r="K90">
        <v>10836</v>
      </c>
      <c r="L90">
        <v>9691</v>
      </c>
      <c r="M90">
        <v>8834</v>
      </c>
      <c r="N90">
        <v>7727</v>
      </c>
      <c r="O90">
        <v>6057</v>
      </c>
      <c r="P90">
        <v>3178</v>
      </c>
      <c r="Q90">
        <v>3015</v>
      </c>
      <c r="R90">
        <v>2914</v>
      </c>
      <c r="S90">
        <v>2687</v>
      </c>
      <c r="T90">
        <v>2502</v>
      </c>
      <c r="U90">
        <v>2478</v>
      </c>
      <c r="V90">
        <v>2166</v>
      </c>
      <c r="W90">
        <v>1856</v>
      </c>
      <c r="X90">
        <v>1834</v>
      </c>
      <c r="Y90">
        <v>0</v>
      </c>
      <c r="Z90">
        <v>1243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880428</v>
      </c>
    </row>
    <row r="91" spans="1:50" x14ac:dyDescent="0.2">
      <c r="A91" t="s">
        <v>4</v>
      </c>
      <c r="C91">
        <v>89</v>
      </c>
      <c r="D91">
        <v>21</v>
      </c>
      <c r="E91" t="s">
        <v>176</v>
      </c>
      <c r="F91">
        <v>2014</v>
      </c>
      <c r="G91">
        <v>383262</v>
      </c>
      <c r="H91">
        <v>342940</v>
      </c>
      <c r="I91">
        <v>97228</v>
      </c>
      <c r="J91">
        <v>51623</v>
      </c>
      <c r="K91">
        <v>17188</v>
      </c>
      <c r="L91">
        <v>16645</v>
      </c>
      <c r="M91">
        <v>8184</v>
      </c>
      <c r="N91">
        <v>8084</v>
      </c>
      <c r="O91">
        <v>6269</v>
      </c>
      <c r="P91">
        <v>5854</v>
      </c>
      <c r="Q91">
        <v>5637</v>
      </c>
      <c r="R91">
        <v>5412</v>
      </c>
      <c r="S91">
        <v>4804</v>
      </c>
      <c r="T91">
        <v>4678</v>
      </c>
      <c r="U91">
        <v>4555</v>
      </c>
      <c r="V91">
        <v>4302</v>
      </c>
      <c r="W91">
        <v>3015</v>
      </c>
      <c r="X91">
        <v>2520</v>
      </c>
      <c r="Y91">
        <v>2484</v>
      </c>
      <c r="Z91">
        <v>2268</v>
      </c>
      <c r="AA91">
        <v>1697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978649</v>
      </c>
    </row>
    <row r="92" spans="1:50" x14ac:dyDescent="0.2">
      <c r="A92" t="s">
        <v>4</v>
      </c>
      <c r="C92">
        <v>90</v>
      </c>
      <c r="D92">
        <v>13</v>
      </c>
      <c r="E92" t="s">
        <v>177</v>
      </c>
      <c r="F92">
        <v>2014</v>
      </c>
      <c r="G92">
        <v>391074</v>
      </c>
      <c r="H92">
        <v>255204</v>
      </c>
      <c r="I92">
        <v>98805</v>
      </c>
      <c r="J92">
        <v>75962</v>
      </c>
      <c r="K92">
        <v>14703</v>
      </c>
      <c r="L92">
        <v>10950</v>
      </c>
      <c r="M92">
        <v>7637</v>
      </c>
      <c r="N92">
        <v>7518</v>
      </c>
      <c r="O92">
        <v>7305</v>
      </c>
      <c r="P92">
        <v>6886</v>
      </c>
      <c r="Q92">
        <v>5879</v>
      </c>
      <c r="R92">
        <v>5680</v>
      </c>
      <c r="S92">
        <v>5610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893213</v>
      </c>
    </row>
    <row r="93" spans="1:50" x14ac:dyDescent="0.2">
      <c r="A93" t="s">
        <v>4</v>
      </c>
      <c r="C93">
        <v>91</v>
      </c>
      <c r="D93">
        <v>17</v>
      </c>
      <c r="E93" t="s">
        <v>178</v>
      </c>
      <c r="F93">
        <v>2014</v>
      </c>
      <c r="G93">
        <v>319012</v>
      </c>
      <c r="H93">
        <v>186674</v>
      </c>
      <c r="I93">
        <v>184788</v>
      </c>
      <c r="J93">
        <v>117012</v>
      </c>
      <c r="K93">
        <v>13051</v>
      </c>
      <c r="L93">
        <v>12422</v>
      </c>
      <c r="M93">
        <v>9179</v>
      </c>
      <c r="N93">
        <v>7879</v>
      </c>
      <c r="O93">
        <v>7514</v>
      </c>
      <c r="P93">
        <v>6901</v>
      </c>
      <c r="Q93">
        <v>6130</v>
      </c>
      <c r="R93">
        <v>5294</v>
      </c>
      <c r="S93">
        <v>3437</v>
      </c>
      <c r="T93">
        <v>2740</v>
      </c>
      <c r="U93">
        <v>2241</v>
      </c>
      <c r="V93">
        <v>2066</v>
      </c>
      <c r="W93">
        <v>1864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888204</v>
      </c>
    </row>
    <row r="94" spans="1:50" x14ac:dyDescent="0.2">
      <c r="A94" t="s">
        <v>4</v>
      </c>
      <c r="C94">
        <v>92</v>
      </c>
      <c r="D94">
        <v>12</v>
      </c>
      <c r="E94" t="s">
        <v>179</v>
      </c>
      <c r="F94">
        <v>2014</v>
      </c>
      <c r="G94">
        <v>366087</v>
      </c>
      <c r="H94">
        <v>302760</v>
      </c>
      <c r="I94">
        <v>93310</v>
      </c>
      <c r="J94">
        <v>31528</v>
      </c>
      <c r="K94">
        <v>13379</v>
      </c>
      <c r="L94">
        <v>11005</v>
      </c>
      <c r="M94">
        <v>7486</v>
      </c>
      <c r="N94">
        <v>6144</v>
      </c>
      <c r="O94">
        <v>4395</v>
      </c>
      <c r="P94">
        <v>3980</v>
      </c>
      <c r="Q94">
        <v>3906</v>
      </c>
      <c r="R94">
        <v>2808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846788</v>
      </c>
    </row>
    <row r="95" spans="1:50" x14ac:dyDescent="0.2">
      <c r="A95" t="s">
        <v>4</v>
      </c>
      <c r="C95">
        <v>93</v>
      </c>
      <c r="D95">
        <v>16</v>
      </c>
      <c r="E95" t="s">
        <v>180</v>
      </c>
      <c r="F95">
        <v>2014</v>
      </c>
      <c r="G95">
        <v>338892</v>
      </c>
      <c r="H95">
        <v>233651</v>
      </c>
      <c r="I95">
        <v>76709</v>
      </c>
      <c r="J95">
        <v>45503</v>
      </c>
      <c r="K95">
        <v>32686</v>
      </c>
      <c r="L95">
        <v>10185</v>
      </c>
      <c r="M95">
        <v>9919</v>
      </c>
      <c r="N95">
        <v>6994</v>
      </c>
      <c r="O95">
        <v>6974</v>
      </c>
      <c r="P95">
        <v>6938</v>
      </c>
      <c r="Q95">
        <v>5459</v>
      </c>
      <c r="R95">
        <v>4795</v>
      </c>
      <c r="S95">
        <v>4002</v>
      </c>
      <c r="T95">
        <v>2813</v>
      </c>
      <c r="U95">
        <v>2359</v>
      </c>
      <c r="V95">
        <v>2048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789927</v>
      </c>
    </row>
    <row r="96" spans="1:50" x14ac:dyDescent="0.2">
      <c r="A96" t="s">
        <v>4</v>
      </c>
      <c r="C96">
        <v>94</v>
      </c>
      <c r="D96">
        <v>16</v>
      </c>
      <c r="E96" t="s">
        <v>181</v>
      </c>
      <c r="F96">
        <v>2014</v>
      </c>
      <c r="G96">
        <v>322647</v>
      </c>
      <c r="H96">
        <v>280307</v>
      </c>
      <c r="I96">
        <v>100851</v>
      </c>
      <c r="J96">
        <v>34365</v>
      </c>
      <c r="K96">
        <v>10625</v>
      </c>
      <c r="L96">
        <v>10580</v>
      </c>
      <c r="M96">
        <v>10352</v>
      </c>
      <c r="N96">
        <v>8874</v>
      </c>
      <c r="O96">
        <v>7757</v>
      </c>
      <c r="P96">
        <v>6041</v>
      </c>
      <c r="Q96">
        <v>4202</v>
      </c>
      <c r="R96">
        <v>3711</v>
      </c>
      <c r="S96">
        <v>3521</v>
      </c>
      <c r="T96">
        <v>2826</v>
      </c>
      <c r="U96">
        <v>2721</v>
      </c>
      <c r="V96">
        <v>2136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811516</v>
      </c>
    </row>
    <row r="97" spans="1:50" x14ac:dyDescent="0.2">
      <c r="A97" t="s">
        <v>4</v>
      </c>
      <c r="C97">
        <v>95</v>
      </c>
      <c r="D97">
        <v>14</v>
      </c>
      <c r="E97" t="s">
        <v>182</v>
      </c>
      <c r="F97">
        <v>2014</v>
      </c>
      <c r="G97">
        <v>307941</v>
      </c>
      <c r="H97">
        <v>241594</v>
      </c>
      <c r="I97">
        <v>136137</v>
      </c>
      <c r="J97">
        <v>27833</v>
      </c>
      <c r="K97">
        <v>17454</v>
      </c>
      <c r="L97">
        <v>9255</v>
      </c>
      <c r="M97">
        <v>8678</v>
      </c>
      <c r="N97">
        <v>7195</v>
      </c>
      <c r="O97">
        <v>6703</v>
      </c>
      <c r="P97">
        <v>6121</v>
      </c>
      <c r="Q97">
        <v>5726</v>
      </c>
      <c r="R97">
        <v>4608</v>
      </c>
      <c r="S97">
        <v>3696</v>
      </c>
      <c r="T97">
        <v>3333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786274</v>
      </c>
    </row>
    <row r="98" spans="1:50" x14ac:dyDescent="0.2">
      <c r="A98" t="s">
        <v>4</v>
      </c>
      <c r="C98">
        <v>96</v>
      </c>
      <c r="D98">
        <v>14</v>
      </c>
      <c r="E98" t="s">
        <v>183</v>
      </c>
      <c r="F98">
        <v>2014</v>
      </c>
      <c r="G98">
        <v>326230</v>
      </c>
      <c r="H98">
        <v>210726</v>
      </c>
      <c r="I98">
        <v>131828</v>
      </c>
      <c r="J98">
        <v>36863</v>
      </c>
      <c r="K98">
        <v>19651</v>
      </c>
      <c r="L98">
        <v>19030</v>
      </c>
      <c r="M98">
        <v>16028</v>
      </c>
      <c r="N98">
        <v>9004</v>
      </c>
      <c r="O98">
        <v>7624</v>
      </c>
      <c r="P98">
        <v>7549</v>
      </c>
      <c r="Q98">
        <v>7312</v>
      </c>
      <c r="R98">
        <v>6065</v>
      </c>
      <c r="S98">
        <v>5924</v>
      </c>
      <c r="T98">
        <v>5544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809378</v>
      </c>
    </row>
    <row r="99" spans="1:50" x14ac:dyDescent="0.2">
      <c r="A99" t="s">
        <v>4</v>
      </c>
      <c r="C99">
        <v>97</v>
      </c>
      <c r="D99">
        <v>18</v>
      </c>
      <c r="E99" t="s">
        <v>184</v>
      </c>
      <c r="F99">
        <v>2014</v>
      </c>
      <c r="G99">
        <v>390248</v>
      </c>
      <c r="H99">
        <v>250091</v>
      </c>
      <c r="I99">
        <v>168217</v>
      </c>
      <c r="J99">
        <v>12072</v>
      </c>
      <c r="K99">
        <v>7997</v>
      </c>
      <c r="L99">
        <v>7489</v>
      </c>
      <c r="M99">
        <v>7324</v>
      </c>
      <c r="N99">
        <v>6736</v>
      </c>
      <c r="O99">
        <v>6443</v>
      </c>
      <c r="P99">
        <v>4057</v>
      </c>
      <c r="Q99">
        <v>3743</v>
      </c>
      <c r="R99">
        <v>3612</v>
      </c>
      <c r="S99">
        <v>3568</v>
      </c>
      <c r="T99">
        <v>3291</v>
      </c>
      <c r="U99">
        <v>3138</v>
      </c>
      <c r="V99">
        <v>2596</v>
      </c>
      <c r="W99">
        <v>2169</v>
      </c>
      <c r="X99">
        <v>1650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884441</v>
      </c>
    </row>
    <row r="100" spans="1:50" x14ac:dyDescent="0.2">
      <c r="A100" t="s">
        <v>4</v>
      </c>
      <c r="C100">
        <v>98</v>
      </c>
      <c r="D100">
        <v>12</v>
      </c>
      <c r="E100" t="s">
        <v>185</v>
      </c>
      <c r="F100">
        <v>2014</v>
      </c>
      <c r="G100">
        <v>285354</v>
      </c>
      <c r="H100">
        <v>199407</v>
      </c>
      <c r="I100">
        <v>198599</v>
      </c>
      <c r="J100">
        <v>19517</v>
      </c>
      <c r="K100">
        <v>15008</v>
      </c>
      <c r="L100">
        <v>10748</v>
      </c>
      <c r="M100">
        <v>10452</v>
      </c>
      <c r="N100">
        <v>8360</v>
      </c>
      <c r="O100">
        <v>7635</v>
      </c>
      <c r="P100">
        <v>7159</v>
      </c>
      <c r="Q100">
        <v>7147</v>
      </c>
      <c r="R100">
        <v>6253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775639</v>
      </c>
    </row>
    <row r="101" spans="1:50" x14ac:dyDescent="0.2">
      <c r="A101" t="s">
        <v>5</v>
      </c>
      <c r="C101">
        <v>99</v>
      </c>
      <c r="D101">
        <v>8</v>
      </c>
      <c r="E101" t="s">
        <v>186</v>
      </c>
      <c r="F101">
        <v>2014</v>
      </c>
      <c r="G101">
        <v>237903</v>
      </c>
      <c r="H101">
        <v>132304</v>
      </c>
      <c r="I101">
        <v>15857</v>
      </c>
      <c r="J101">
        <v>5770</v>
      </c>
      <c r="K101">
        <v>5640</v>
      </c>
      <c r="L101">
        <v>4128</v>
      </c>
      <c r="M101">
        <v>3216</v>
      </c>
      <c r="N101">
        <v>1813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406631</v>
      </c>
    </row>
    <row r="102" spans="1:50" x14ac:dyDescent="0.2">
      <c r="A102" t="s">
        <v>5</v>
      </c>
      <c r="C102">
        <v>100</v>
      </c>
      <c r="D102">
        <v>13</v>
      </c>
      <c r="E102" t="s">
        <v>187</v>
      </c>
      <c r="F102">
        <v>2014</v>
      </c>
      <c r="G102">
        <v>198776</v>
      </c>
      <c r="H102">
        <v>166446</v>
      </c>
      <c r="I102">
        <v>11941</v>
      </c>
      <c r="J102">
        <v>11246</v>
      </c>
      <c r="K102">
        <v>7152</v>
      </c>
      <c r="L102">
        <v>4437</v>
      </c>
      <c r="M102">
        <v>4333</v>
      </c>
      <c r="N102">
        <v>2586</v>
      </c>
      <c r="O102">
        <v>790</v>
      </c>
      <c r="P102">
        <v>783</v>
      </c>
      <c r="Q102">
        <v>683</v>
      </c>
      <c r="R102">
        <v>666</v>
      </c>
      <c r="S102">
        <v>530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410369</v>
      </c>
    </row>
    <row r="103" spans="1:50" x14ac:dyDescent="0.2">
      <c r="A103" t="s">
        <v>6</v>
      </c>
      <c r="C103">
        <v>101</v>
      </c>
      <c r="D103">
        <v>6</v>
      </c>
      <c r="E103" t="s">
        <v>188</v>
      </c>
      <c r="F103">
        <v>2014</v>
      </c>
      <c r="G103">
        <v>562855</v>
      </c>
      <c r="H103">
        <v>308373</v>
      </c>
      <c r="I103">
        <v>21230</v>
      </c>
      <c r="J103">
        <v>21106</v>
      </c>
      <c r="K103">
        <v>16879</v>
      </c>
      <c r="L103">
        <v>15797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946240</v>
      </c>
    </row>
    <row r="104" spans="1:50" x14ac:dyDescent="0.2">
      <c r="A104" t="s">
        <v>6</v>
      </c>
      <c r="C104">
        <v>102</v>
      </c>
      <c r="D104">
        <v>15</v>
      </c>
      <c r="E104" t="s">
        <v>189</v>
      </c>
      <c r="F104">
        <v>2014</v>
      </c>
      <c r="G104">
        <v>507856</v>
      </c>
      <c r="H104">
        <v>305522</v>
      </c>
      <c r="I104">
        <v>17397</v>
      </c>
      <c r="J104">
        <v>11175</v>
      </c>
      <c r="K104">
        <v>10897</v>
      </c>
      <c r="L104">
        <v>7207</v>
      </c>
      <c r="M104">
        <v>6571</v>
      </c>
      <c r="N104">
        <v>5388</v>
      </c>
      <c r="O104">
        <v>3302</v>
      </c>
      <c r="P104">
        <v>2535</v>
      </c>
      <c r="Q104">
        <v>2118</v>
      </c>
      <c r="R104">
        <v>2064</v>
      </c>
      <c r="S104">
        <v>2007</v>
      </c>
      <c r="T104">
        <v>1770</v>
      </c>
      <c r="U104">
        <v>825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886634</v>
      </c>
    </row>
    <row r="105" spans="1:50" x14ac:dyDescent="0.2">
      <c r="A105" t="s">
        <v>6</v>
      </c>
      <c r="C105">
        <v>103</v>
      </c>
      <c r="D105">
        <v>15</v>
      </c>
      <c r="E105" t="s">
        <v>190</v>
      </c>
      <c r="F105">
        <v>2014</v>
      </c>
      <c r="G105">
        <v>518538</v>
      </c>
      <c r="H105">
        <v>379819</v>
      </c>
      <c r="I105">
        <v>12061</v>
      </c>
      <c r="J105">
        <v>9900</v>
      </c>
      <c r="K105">
        <v>7492</v>
      </c>
      <c r="L105">
        <v>6188</v>
      </c>
      <c r="M105">
        <v>5629</v>
      </c>
      <c r="N105">
        <v>2760</v>
      </c>
      <c r="O105">
        <v>2550</v>
      </c>
      <c r="P105">
        <v>2539</v>
      </c>
      <c r="Q105">
        <v>1978</v>
      </c>
      <c r="R105">
        <v>1843</v>
      </c>
      <c r="S105">
        <v>1840</v>
      </c>
      <c r="T105">
        <v>1752</v>
      </c>
      <c r="U105">
        <v>910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955799</v>
      </c>
    </row>
    <row r="106" spans="1:50" x14ac:dyDescent="0.2">
      <c r="A106" t="s">
        <v>6</v>
      </c>
      <c r="C106">
        <v>104</v>
      </c>
      <c r="D106">
        <v>15</v>
      </c>
      <c r="E106" t="s">
        <v>191</v>
      </c>
      <c r="F106">
        <v>2014</v>
      </c>
      <c r="G106">
        <v>580250</v>
      </c>
      <c r="H106">
        <v>371359</v>
      </c>
      <c r="I106">
        <v>11615</v>
      </c>
      <c r="J106">
        <v>9766</v>
      </c>
      <c r="K106">
        <v>6139</v>
      </c>
      <c r="L106">
        <v>5982</v>
      </c>
      <c r="M106">
        <v>4825</v>
      </c>
      <c r="N106">
        <v>3731</v>
      </c>
      <c r="O106">
        <v>2427</v>
      </c>
      <c r="P106">
        <v>1804</v>
      </c>
      <c r="Q106">
        <v>1653</v>
      </c>
      <c r="R106">
        <v>1340</v>
      </c>
      <c r="S106">
        <v>1251</v>
      </c>
      <c r="T106">
        <v>1084</v>
      </c>
      <c r="U106">
        <v>1032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1004258</v>
      </c>
    </row>
    <row r="107" spans="1:50" x14ac:dyDescent="0.2">
      <c r="A107" t="s">
        <v>6</v>
      </c>
      <c r="C107">
        <v>105</v>
      </c>
      <c r="D107">
        <v>11</v>
      </c>
      <c r="E107" t="s">
        <v>192</v>
      </c>
      <c r="F107">
        <v>2014</v>
      </c>
      <c r="G107">
        <v>552205</v>
      </c>
      <c r="H107">
        <v>467750</v>
      </c>
      <c r="I107">
        <v>22334</v>
      </c>
      <c r="J107">
        <v>16665</v>
      </c>
      <c r="K107">
        <v>9795</v>
      </c>
      <c r="L107">
        <v>9046</v>
      </c>
      <c r="M107">
        <v>6816</v>
      </c>
      <c r="N107">
        <v>3527</v>
      </c>
      <c r="O107">
        <v>2314</v>
      </c>
      <c r="P107">
        <v>1876</v>
      </c>
      <c r="Q107">
        <v>1674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1094002</v>
      </c>
    </row>
    <row r="108" spans="1:50" x14ac:dyDescent="0.2">
      <c r="A108" t="s">
        <v>6</v>
      </c>
      <c r="C108">
        <v>106</v>
      </c>
      <c r="D108">
        <v>19</v>
      </c>
      <c r="E108" t="s">
        <v>193</v>
      </c>
      <c r="F108">
        <v>2014</v>
      </c>
      <c r="G108">
        <v>773539</v>
      </c>
      <c r="H108">
        <v>290418</v>
      </c>
      <c r="I108">
        <v>19966</v>
      </c>
      <c r="J108">
        <v>12777</v>
      </c>
      <c r="K108">
        <v>9767</v>
      </c>
      <c r="L108">
        <v>6705</v>
      </c>
      <c r="M108">
        <v>6068</v>
      </c>
      <c r="N108">
        <v>3767</v>
      </c>
      <c r="O108">
        <v>3177</v>
      </c>
      <c r="P108">
        <v>1639</v>
      </c>
      <c r="Q108">
        <v>1474</v>
      </c>
      <c r="R108">
        <v>984</v>
      </c>
      <c r="S108">
        <v>924</v>
      </c>
      <c r="T108">
        <v>809</v>
      </c>
      <c r="U108">
        <v>793</v>
      </c>
      <c r="V108">
        <v>684</v>
      </c>
      <c r="W108">
        <v>683</v>
      </c>
      <c r="X108">
        <v>668</v>
      </c>
      <c r="Y108">
        <v>653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1135495</v>
      </c>
    </row>
    <row r="109" spans="1:50" x14ac:dyDescent="0.2">
      <c r="A109" t="s">
        <v>6</v>
      </c>
      <c r="C109">
        <v>107</v>
      </c>
      <c r="D109">
        <v>15</v>
      </c>
      <c r="E109" t="s">
        <v>618</v>
      </c>
      <c r="F109">
        <v>2014</v>
      </c>
      <c r="G109">
        <v>633582</v>
      </c>
      <c r="H109">
        <v>306949</v>
      </c>
      <c r="I109">
        <v>14358</v>
      </c>
      <c r="J109">
        <v>11349</v>
      </c>
      <c r="K109">
        <v>6023</v>
      </c>
      <c r="L109">
        <v>4046</v>
      </c>
      <c r="M109">
        <v>2299</v>
      </c>
      <c r="N109">
        <v>1201</v>
      </c>
      <c r="O109">
        <v>1094</v>
      </c>
      <c r="P109">
        <v>987</v>
      </c>
      <c r="Q109">
        <v>895</v>
      </c>
      <c r="R109">
        <v>782</v>
      </c>
      <c r="S109">
        <v>704</v>
      </c>
      <c r="T109">
        <v>698</v>
      </c>
      <c r="U109">
        <v>558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985525</v>
      </c>
    </row>
    <row r="110" spans="1:50" x14ac:dyDescent="0.2">
      <c r="A110" t="s">
        <v>6</v>
      </c>
      <c r="C110">
        <v>108</v>
      </c>
      <c r="D110">
        <v>12</v>
      </c>
      <c r="E110" t="s">
        <v>194</v>
      </c>
      <c r="F110">
        <v>2014</v>
      </c>
      <c r="G110">
        <v>617104</v>
      </c>
      <c r="H110">
        <v>296793</v>
      </c>
      <c r="I110">
        <v>17332</v>
      </c>
      <c r="J110">
        <v>16571</v>
      </c>
      <c r="K110">
        <v>6205</v>
      </c>
      <c r="L110">
        <v>2837</v>
      </c>
      <c r="M110">
        <v>2564</v>
      </c>
      <c r="N110">
        <v>1391</v>
      </c>
      <c r="O110">
        <v>1256</v>
      </c>
      <c r="P110">
        <v>941</v>
      </c>
      <c r="Q110">
        <v>808</v>
      </c>
      <c r="R110">
        <v>807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964609</v>
      </c>
    </row>
    <row r="111" spans="1:50" x14ac:dyDescent="0.2">
      <c r="A111" t="s">
        <v>6</v>
      </c>
      <c r="C111">
        <v>109</v>
      </c>
      <c r="D111">
        <v>18</v>
      </c>
      <c r="E111" t="s">
        <v>195</v>
      </c>
      <c r="F111">
        <v>2014</v>
      </c>
      <c r="G111">
        <v>529003</v>
      </c>
      <c r="H111">
        <v>326096</v>
      </c>
      <c r="I111">
        <v>14515</v>
      </c>
      <c r="J111">
        <v>13375</v>
      </c>
      <c r="K111">
        <v>11216</v>
      </c>
      <c r="L111">
        <v>11029</v>
      </c>
      <c r="M111">
        <v>10753</v>
      </c>
      <c r="N111">
        <v>6439</v>
      </c>
      <c r="O111">
        <v>4818</v>
      </c>
      <c r="P111">
        <v>3102</v>
      </c>
      <c r="Q111">
        <v>2968</v>
      </c>
      <c r="R111">
        <v>2251</v>
      </c>
      <c r="S111">
        <v>2154</v>
      </c>
      <c r="T111">
        <v>1751</v>
      </c>
      <c r="U111">
        <v>1413</v>
      </c>
      <c r="V111">
        <v>1341</v>
      </c>
      <c r="W111">
        <v>1227</v>
      </c>
      <c r="X111">
        <v>1226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944677</v>
      </c>
    </row>
    <row r="112" spans="1:50" x14ac:dyDescent="0.2">
      <c r="A112" t="s">
        <v>6</v>
      </c>
      <c r="C112">
        <v>110</v>
      </c>
      <c r="D112">
        <v>16</v>
      </c>
      <c r="E112" t="s">
        <v>196</v>
      </c>
      <c r="F112">
        <v>2014</v>
      </c>
      <c r="G112">
        <v>621524</v>
      </c>
      <c r="H112">
        <v>375096</v>
      </c>
      <c r="I112">
        <v>18249</v>
      </c>
      <c r="J112">
        <v>12653</v>
      </c>
      <c r="K112">
        <v>10785</v>
      </c>
      <c r="L112">
        <v>5752</v>
      </c>
      <c r="M112">
        <v>2076</v>
      </c>
      <c r="N112">
        <v>1636</v>
      </c>
      <c r="O112">
        <v>1562</v>
      </c>
      <c r="P112">
        <v>1408</v>
      </c>
      <c r="Q112">
        <v>1344</v>
      </c>
      <c r="R112">
        <v>1161</v>
      </c>
      <c r="S112">
        <v>1080</v>
      </c>
      <c r="T112">
        <v>990</v>
      </c>
      <c r="U112">
        <v>945</v>
      </c>
      <c r="V112">
        <v>808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1057069</v>
      </c>
    </row>
    <row r="113" spans="1:50" x14ac:dyDescent="0.2">
      <c r="A113" t="s">
        <v>6</v>
      </c>
      <c r="C113">
        <v>111</v>
      </c>
      <c r="D113">
        <v>15</v>
      </c>
      <c r="E113" t="s">
        <v>197</v>
      </c>
      <c r="F113">
        <v>2014</v>
      </c>
      <c r="G113">
        <v>508437</v>
      </c>
      <c r="H113">
        <v>240466</v>
      </c>
      <c r="I113">
        <v>16443</v>
      </c>
      <c r="J113">
        <v>12180</v>
      </c>
      <c r="K113">
        <v>7939</v>
      </c>
      <c r="L113">
        <v>4475</v>
      </c>
      <c r="M113">
        <v>3825</v>
      </c>
      <c r="N113">
        <v>3009</v>
      </c>
      <c r="O113">
        <v>2868</v>
      </c>
      <c r="P113">
        <v>2205</v>
      </c>
      <c r="Q113">
        <v>1704</v>
      </c>
      <c r="R113">
        <v>1671</v>
      </c>
      <c r="S113">
        <v>1618</v>
      </c>
      <c r="T113">
        <v>1569</v>
      </c>
      <c r="U113">
        <v>1024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809433</v>
      </c>
    </row>
    <row r="114" spans="1:50" x14ac:dyDescent="0.2">
      <c r="A114" t="s">
        <v>6</v>
      </c>
      <c r="C114">
        <v>112</v>
      </c>
      <c r="D114">
        <v>26</v>
      </c>
      <c r="E114" t="s">
        <v>198</v>
      </c>
      <c r="F114">
        <v>2014</v>
      </c>
      <c r="G114">
        <v>484412</v>
      </c>
      <c r="H114">
        <v>309123</v>
      </c>
      <c r="I114">
        <v>8596</v>
      </c>
      <c r="J114">
        <v>8234</v>
      </c>
      <c r="K114">
        <v>6588</v>
      </c>
      <c r="L114">
        <v>5811</v>
      </c>
      <c r="M114">
        <v>4911</v>
      </c>
      <c r="N114">
        <v>3946</v>
      </c>
      <c r="O114">
        <v>3667</v>
      </c>
      <c r="P114">
        <v>1811</v>
      </c>
      <c r="Q114">
        <v>1541</v>
      </c>
      <c r="R114">
        <v>1377</v>
      </c>
      <c r="S114">
        <v>1254</v>
      </c>
      <c r="T114">
        <v>1247</v>
      </c>
      <c r="U114">
        <v>1188</v>
      </c>
      <c r="V114">
        <v>1043</v>
      </c>
      <c r="W114">
        <v>940</v>
      </c>
      <c r="X114">
        <v>885</v>
      </c>
      <c r="Y114">
        <v>876</v>
      </c>
      <c r="Z114">
        <v>819</v>
      </c>
      <c r="AA114">
        <v>795</v>
      </c>
      <c r="AB114">
        <v>777</v>
      </c>
      <c r="AC114">
        <v>760</v>
      </c>
      <c r="AD114">
        <v>744</v>
      </c>
      <c r="AE114">
        <v>706</v>
      </c>
      <c r="AF114">
        <v>592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852643</v>
      </c>
    </row>
    <row r="115" spans="1:50" x14ac:dyDescent="0.2">
      <c r="A115" t="s">
        <v>6</v>
      </c>
      <c r="C115">
        <v>113</v>
      </c>
      <c r="D115">
        <v>9</v>
      </c>
      <c r="E115" t="s">
        <v>199</v>
      </c>
      <c r="F115">
        <v>2014</v>
      </c>
      <c r="G115">
        <v>513179</v>
      </c>
      <c r="H115">
        <v>377347</v>
      </c>
      <c r="I115">
        <v>17022</v>
      </c>
      <c r="J115">
        <v>16674</v>
      </c>
      <c r="K115">
        <v>7574</v>
      </c>
      <c r="L115">
        <v>2717</v>
      </c>
      <c r="M115">
        <v>2565</v>
      </c>
      <c r="N115">
        <v>2409</v>
      </c>
      <c r="O115">
        <v>1891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941378</v>
      </c>
    </row>
    <row r="116" spans="1:50" x14ac:dyDescent="0.2">
      <c r="A116" t="s">
        <v>6</v>
      </c>
      <c r="C116">
        <v>114</v>
      </c>
      <c r="D116">
        <v>15</v>
      </c>
      <c r="E116" t="s">
        <v>200</v>
      </c>
      <c r="F116">
        <v>2014</v>
      </c>
      <c r="G116">
        <v>436715</v>
      </c>
      <c r="H116">
        <v>280483</v>
      </c>
      <c r="I116">
        <v>19143</v>
      </c>
      <c r="J116">
        <v>15520</v>
      </c>
      <c r="K116">
        <v>13803</v>
      </c>
      <c r="L116">
        <v>10114</v>
      </c>
      <c r="M116">
        <v>8167</v>
      </c>
      <c r="N116">
        <v>7822</v>
      </c>
      <c r="O116">
        <v>4032</v>
      </c>
      <c r="P116">
        <v>3439</v>
      </c>
      <c r="Q116">
        <v>2216</v>
      </c>
      <c r="R116">
        <v>2062</v>
      </c>
      <c r="S116">
        <v>1938</v>
      </c>
      <c r="T116">
        <v>1809</v>
      </c>
      <c r="U116">
        <v>1553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808816</v>
      </c>
    </row>
    <row r="117" spans="1:50" x14ac:dyDescent="0.2">
      <c r="A117" t="s">
        <v>6</v>
      </c>
      <c r="C117">
        <v>115</v>
      </c>
      <c r="D117">
        <v>17</v>
      </c>
      <c r="E117" t="s">
        <v>201</v>
      </c>
      <c r="F117">
        <v>2014</v>
      </c>
      <c r="G117">
        <v>549529</v>
      </c>
      <c r="H117">
        <v>254041</v>
      </c>
      <c r="I117">
        <v>49540</v>
      </c>
      <c r="J117">
        <v>9590</v>
      </c>
      <c r="K117">
        <v>9345</v>
      </c>
      <c r="L117">
        <v>9113</v>
      </c>
      <c r="M117">
        <v>7550</v>
      </c>
      <c r="N117">
        <v>5912</v>
      </c>
      <c r="O117">
        <v>5530</v>
      </c>
      <c r="P117">
        <v>3542</v>
      </c>
      <c r="Q117">
        <v>2707</v>
      </c>
      <c r="R117">
        <v>2276</v>
      </c>
      <c r="S117">
        <v>2257</v>
      </c>
      <c r="T117">
        <v>1852</v>
      </c>
      <c r="U117">
        <v>1734</v>
      </c>
      <c r="V117">
        <v>1525</v>
      </c>
      <c r="W117">
        <v>1359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917402</v>
      </c>
    </row>
    <row r="118" spans="1:50" x14ac:dyDescent="0.2">
      <c r="A118" t="s">
        <v>6</v>
      </c>
      <c r="C118">
        <v>116</v>
      </c>
      <c r="D118">
        <v>16</v>
      </c>
      <c r="E118" t="s">
        <v>202</v>
      </c>
      <c r="F118">
        <v>2014</v>
      </c>
      <c r="G118">
        <v>490829</v>
      </c>
      <c r="H118">
        <v>427403</v>
      </c>
      <c r="I118">
        <v>16872</v>
      </c>
      <c r="J118">
        <v>6689</v>
      </c>
      <c r="K118">
        <v>6480</v>
      </c>
      <c r="L118">
        <v>4022</v>
      </c>
      <c r="M118">
        <v>4003</v>
      </c>
      <c r="N118">
        <v>2975</v>
      </c>
      <c r="O118">
        <v>2442</v>
      </c>
      <c r="P118">
        <v>1790</v>
      </c>
      <c r="Q118">
        <v>1466</v>
      </c>
      <c r="R118">
        <v>1459</v>
      </c>
      <c r="S118">
        <v>1265</v>
      </c>
      <c r="T118">
        <v>1260</v>
      </c>
      <c r="U118">
        <v>1063</v>
      </c>
      <c r="V118">
        <v>876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970894</v>
      </c>
    </row>
    <row r="119" spans="1:50" x14ac:dyDescent="0.2">
      <c r="A119" t="s">
        <v>6</v>
      </c>
      <c r="C119">
        <v>117</v>
      </c>
      <c r="D119">
        <v>16</v>
      </c>
      <c r="E119" t="s">
        <v>203</v>
      </c>
      <c r="F119">
        <v>2014</v>
      </c>
      <c r="G119">
        <v>568235</v>
      </c>
      <c r="H119">
        <v>335334</v>
      </c>
      <c r="I119">
        <v>20333</v>
      </c>
      <c r="J119">
        <v>7442</v>
      </c>
      <c r="K119">
        <v>5791</v>
      </c>
      <c r="L119">
        <v>3742</v>
      </c>
      <c r="M119">
        <v>3495</v>
      </c>
      <c r="N119">
        <v>2720</v>
      </c>
      <c r="O119">
        <v>1860</v>
      </c>
      <c r="P119">
        <v>1444</v>
      </c>
      <c r="Q119">
        <v>1024</v>
      </c>
      <c r="R119">
        <v>955</v>
      </c>
      <c r="S119">
        <v>944</v>
      </c>
      <c r="T119">
        <v>938</v>
      </c>
      <c r="U119">
        <v>846</v>
      </c>
      <c r="V119">
        <v>803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955906</v>
      </c>
    </row>
    <row r="120" spans="1:50" x14ac:dyDescent="0.2">
      <c r="A120" t="s">
        <v>6</v>
      </c>
      <c r="C120">
        <v>118</v>
      </c>
      <c r="D120">
        <v>13</v>
      </c>
      <c r="E120" t="s">
        <v>204</v>
      </c>
      <c r="F120">
        <v>2014</v>
      </c>
      <c r="G120">
        <v>508274</v>
      </c>
      <c r="H120">
        <v>337678</v>
      </c>
      <c r="I120">
        <v>25981</v>
      </c>
      <c r="J120">
        <v>15956</v>
      </c>
      <c r="K120">
        <v>11375</v>
      </c>
      <c r="L120">
        <v>10857</v>
      </c>
      <c r="M120">
        <v>6935</v>
      </c>
      <c r="N120">
        <v>5426</v>
      </c>
      <c r="O120">
        <v>3751</v>
      </c>
      <c r="P120">
        <v>2401</v>
      </c>
      <c r="Q120">
        <v>1993</v>
      </c>
      <c r="R120">
        <v>1497</v>
      </c>
      <c r="S120">
        <v>1337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933461</v>
      </c>
    </row>
    <row r="121" spans="1:50" x14ac:dyDescent="0.2">
      <c r="A121" t="s">
        <v>6</v>
      </c>
      <c r="C121">
        <v>119</v>
      </c>
      <c r="D121">
        <v>11</v>
      </c>
      <c r="E121" t="s">
        <v>205</v>
      </c>
      <c r="F121">
        <v>2014</v>
      </c>
      <c r="G121">
        <v>511111</v>
      </c>
      <c r="H121">
        <v>280757</v>
      </c>
      <c r="I121">
        <v>32305</v>
      </c>
      <c r="J121">
        <v>28958</v>
      </c>
      <c r="K121">
        <v>11244</v>
      </c>
      <c r="L121">
        <v>11233</v>
      </c>
      <c r="M121">
        <v>6838</v>
      </c>
      <c r="N121">
        <v>5078</v>
      </c>
      <c r="O121">
        <v>4849</v>
      </c>
      <c r="P121">
        <v>4167</v>
      </c>
      <c r="Q121">
        <v>3841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900381</v>
      </c>
    </row>
    <row r="122" spans="1:50" x14ac:dyDescent="0.2">
      <c r="A122" t="s">
        <v>6</v>
      </c>
      <c r="C122">
        <v>120</v>
      </c>
      <c r="D122">
        <v>9</v>
      </c>
      <c r="E122" t="s">
        <v>206</v>
      </c>
      <c r="F122">
        <v>2014</v>
      </c>
      <c r="G122">
        <v>845464</v>
      </c>
      <c r="H122">
        <v>275336</v>
      </c>
      <c r="I122">
        <v>18053</v>
      </c>
      <c r="J122">
        <v>10101</v>
      </c>
      <c r="K122">
        <v>5782</v>
      </c>
      <c r="L122">
        <v>2249</v>
      </c>
      <c r="M122">
        <v>2101</v>
      </c>
      <c r="N122">
        <v>1382</v>
      </c>
      <c r="O122">
        <v>1109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1161577</v>
      </c>
    </row>
    <row r="123" spans="1:50" x14ac:dyDescent="0.2">
      <c r="A123" t="s">
        <v>6</v>
      </c>
      <c r="C123">
        <v>121</v>
      </c>
      <c r="D123">
        <v>5</v>
      </c>
      <c r="E123" t="s">
        <v>207</v>
      </c>
      <c r="F123">
        <v>2014</v>
      </c>
      <c r="G123">
        <v>607916</v>
      </c>
      <c r="H123">
        <v>428187</v>
      </c>
      <c r="I123">
        <v>28815</v>
      </c>
      <c r="J123">
        <v>23116</v>
      </c>
      <c r="K123">
        <v>12508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1100542</v>
      </c>
    </row>
    <row r="124" spans="1:50" x14ac:dyDescent="0.2">
      <c r="A124" t="s">
        <v>6</v>
      </c>
      <c r="C124">
        <v>122</v>
      </c>
      <c r="D124">
        <v>15</v>
      </c>
      <c r="E124" t="s">
        <v>208</v>
      </c>
      <c r="F124">
        <v>2014</v>
      </c>
      <c r="G124">
        <v>548902</v>
      </c>
      <c r="H124">
        <v>395629</v>
      </c>
      <c r="I124">
        <v>49289</v>
      </c>
      <c r="J124">
        <v>23615</v>
      </c>
      <c r="K124">
        <v>9862</v>
      </c>
      <c r="L124">
        <v>7275</v>
      </c>
      <c r="M124">
        <v>5125</v>
      </c>
      <c r="N124">
        <v>4818</v>
      </c>
      <c r="O124">
        <v>3353</v>
      </c>
      <c r="P124">
        <v>2694</v>
      </c>
      <c r="Q124">
        <v>2661</v>
      </c>
      <c r="R124">
        <v>2644</v>
      </c>
      <c r="S124">
        <v>1855</v>
      </c>
      <c r="T124">
        <v>1406</v>
      </c>
      <c r="U124">
        <v>1083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1060211</v>
      </c>
    </row>
    <row r="125" spans="1:50" x14ac:dyDescent="0.2">
      <c r="A125" t="s">
        <v>6</v>
      </c>
      <c r="C125">
        <v>123</v>
      </c>
      <c r="D125">
        <v>11</v>
      </c>
      <c r="E125" t="s">
        <v>209</v>
      </c>
      <c r="F125">
        <v>2014</v>
      </c>
      <c r="G125">
        <v>622769</v>
      </c>
      <c r="H125">
        <v>498885</v>
      </c>
      <c r="I125">
        <v>19991</v>
      </c>
      <c r="J125">
        <v>13270</v>
      </c>
      <c r="K125">
        <v>11625</v>
      </c>
      <c r="L125">
        <v>10842</v>
      </c>
      <c r="M125">
        <v>8607</v>
      </c>
      <c r="N125">
        <v>7321</v>
      </c>
      <c r="O125">
        <v>5351</v>
      </c>
      <c r="P125">
        <v>5334</v>
      </c>
      <c r="Q125">
        <v>2184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1206179</v>
      </c>
    </row>
    <row r="126" spans="1:50" x14ac:dyDescent="0.2">
      <c r="A126" t="s">
        <v>6</v>
      </c>
      <c r="C126">
        <v>124</v>
      </c>
      <c r="D126">
        <v>9</v>
      </c>
      <c r="E126" t="s">
        <v>210</v>
      </c>
      <c r="F126">
        <v>2014</v>
      </c>
      <c r="G126">
        <v>718412</v>
      </c>
      <c r="H126">
        <v>185222</v>
      </c>
      <c r="I126">
        <v>18877</v>
      </c>
      <c r="J126">
        <v>10936</v>
      </c>
      <c r="K126">
        <v>6346</v>
      </c>
      <c r="L126">
        <v>2695</v>
      </c>
      <c r="M126">
        <v>2640</v>
      </c>
      <c r="N126">
        <v>1607</v>
      </c>
      <c r="O126">
        <v>1187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947922</v>
      </c>
    </row>
    <row r="127" spans="1:50" x14ac:dyDescent="0.2">
      <c r="A127" t="s">
        <v>6</v>
      </c>
      <c r="C127">
        <v>125</v>
      </c>
      <c r="D127">
        <v>20</v>
      </c>
      <c r="E127" t="s">
        <v>211</v>
      </c>
      <c r="F127">
        <v>2014</v>
      </c>
      <c r="G127">
        <v>820831</v>
      </c>
      <c r="H127">
        <v>262715</v>
      </c>
      <c r="I127">
        <v>14299</v>
      </c>
      <c r="J127">
        <v>11240</v>
      </c>
      <c r="K127">
        <v>9322</v>
      </c>
      <c r="L127">
        <v>7560</v>
      </c>
      <c r="M127">
        <v>6069</v>
      </c>
      <c r="N127">
        <v>4267</v>
      </c>
      <c r="O127">
        <v>3853</v>
      </c>
      <c r="P127">
        <v>3510</v>
      </c>
      <c r="Q127">
        <v>2888</v>
      </c>
      <c r="R127">
        <v>2739</v>
      </c>
      <c r="S127">
        <v>2235</v>
      </c>
      <c r="T127">
        <v>2156</v>
      </c>
      <c r="U127">
        <v>1787</v>
      </c>
      <c r="V127">
        <v>1264</v>
      </c>
      <c r="W127">
        <v>1089</v>
      </c>
      <c r="X127">
        <v>1059</v>
      </c>
      <c r="Y127">
        <v>1030</v>
      </c>
      <c r="Z127">
        <v>834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1160747</v>
      </c>
    </row>
    <row r="128" spans="1:50" x14ac:dyDescent="0.2">
      <c r="A128" t="s">
        <v>6</v>
      </c>
      <c r="C128">
        <v>126</v>
      </c>
      <c r="D128">
        <v>11</v>
      </c>
      <c r="E128" t="s">
        <v>212</v>
      </c>
      <c r="F128">
        <v>2014</v>
      </c>
      <c r="G128">
        <v>617772</v>
      </c>
      <c r="H128">
        <v>409768</v>
      </c>
      <c r="I128">
        <v>26606</v>
      </c>
      <c r="J128">
        <v>14202</v>
      </c>
      <c r="K128">
        <v>12757</v>
      </c>
      <c r="L128">
        <v>11372</v>
      </c>
      <c r="M128">
        <v>9702</v>
      </c>
      <c r="N128">
        <v>8047</v>
      </c>
      <c r="O128">
        <v>6028</v>
      </c>
      <c r="P128">
        <v>2982</v>
      </c>
      <c r="Q128">
        <v>2967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1122203</v>
      </c>
    </row>
    <row r="129" spans="1:50" x14ac:dyDescent="0.2">
      <c r="A129" t="s">
        <v>7</v>
      </c>
      <c r="C129">
        <v>127</v>
      </c>
      <c r="D129">
        <v>15</v>
      </c>
      <c r="E129" t="s">
        <v>213</v>
      </c>
      <c r="F129">
        <v>2014</v>
      </c>
      <c r="G129">
        <v>612121</v>
      </c>
      <c r="H129">
        <v>272047</v>
      </c>
      <c r="I129">
        <v>129571</v>
      </c>
      <c r="J129">
        <v>102627</v>
      </c>
      <c r="K129">
        <v>63626</v>
      </c>
      <c r="L129">
        <v>11123</v>
      </c>
      <c r="M129">
        <v>7816</v>
      </c>
      <c r="N129">
        <v>3765</v>
      </c>
      <c r="O129">
        <v>3432</v>
      </c>
      <c r="P129">
        <v>3388</v>
      </c>
      <c r="Q129">
        <v>3095</v>
      </c>
      <c r="R129">
        <v>2715</v>
      </c>
      <c r="S129">
        <v>1446</v>
      </c>
      <c r="T129">
        <v>1290</v>
      </c>
      <c r="U129">
        <v>933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1218995</v>
      </c>
    </row>
    <row r="130" spans="1:50" x14ac:dyDescent="0.2">
      <c r="A130" t="s">
        <v>7</v>
      </c>
      <c r="C130">
        <v>128</v>
      </c>
      <c r="D130">
        <v>23</v>
      </c>
      <c r="E130" t="s">
        <v>214</v>
      </c>
      <c r="F130">
        <v>2014</v>
      </c>
      <c r="G130">
        <v>418112</v>
      </c>
      <c r="H130">
        <v>288376</v>
      </c>
      <c r="I130">
        <v>287722</v>
      </c>
      <c r="J130">
        <v>68926</v>
      </c>
      <c r="K130">
        <v>32554</v>
      </c>
      <c r="L130">
        <v>6061</v>
      </c>
      <c r="M130">
        <v>3887</v>
      </c>
      <c r="N130">
        <v>3251</v>
      </c>
      <c r="O130">
        <v>2770</v>
      </c>
      <c r="P130">
        <v>2765</v>
      </c>
      <c r="Q130">
        <v>2482</v>
      </c>
      <c r="R130">
        <v>2344</v>
      </c>
      <c r="S130">
        <v>2083</v>
      </c>
      <c r="T130">
        <v>2041</v>
      </c>
      <c r="U130">
        <v>1994</v>
      </c>
      <c r="V130">
        <v>1665</v>
      </c>
      <c r="W130">
        <v>1635</v>
      </c>
      <c r="X130">
        <v>1593</v>
      </c>
      <c r="Y130">
        <v>1534</v>
      </c>
      <c r="Z130">
        <v>1483</v>
      </c>
      <c r="AA130">
        <v>1092</v>
      </c>
      <c r="AB130">
        <v>762</v>
      </c>
      <c r="AC130">
        <v>760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1135892</v>
      </c>
    </row>
    <row r="131" spans="1:50" x14ac:dyDescent="0.2">
      <c r="A131" t="s">
        <v>7</v>
      </c>
      <c r="C131">
        <v>129</v>
      </c>
      <c r="D131">
        <v>19</v>
      </c>
      <c r="E131" t="s">
        <v>215</v>
      </c>
      <c r="F131">
        <v>2014</v>
      </c>
      <c r="G131">
        <v>506370</v>
      </c>
      <c r="H131">
        <v>390634</v>
      </c>
      <c r="I131">
        <v>241067</v>
      </c>
      <c r="J131">
        <v>66844</v>
      </c>
      <c r="K131">
        <v>20750</v>
      </c>
      <c r="L131">
        <v>11194</v>
      </c>
      <c r="M131">
        <v>7308</v>
      </c>
      <c r="N131">
        <v>5636</v>
      </c>
      <c r="O131">
        <v>4208</v>
      </c>
      <c r="P131">
        <v>4136</v>
      </c>
      <c r="Q131">
        <v>4033</v>
      </c>
      <c r="R131">
        <v>3432</v>
      </c>
      <c r="S131">
        <v>2901</v>
      </c>
      <c r="T131">
        <v>2350</v>
      </c>
      <c r="U131">
        <v>2201</v>
      </c>
      <c r="V131">
        <v>2145</v>
      </c>
      <c r="W131">
        <v>1365</v>
      </c>
      <c r="X131">
        <v>1334</v>
      </c>
      <c r="Y131">
        <v>1197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1279105</v>
      </c>
    </row>
    <row r="132" spans="1:50" x14ac:dyDescent="0.2">
      <c r="A132" t="s">
        <v>7</v>
      </c>
      <c r="C132">
        <v>130</v>
      </c>
      <c r="D132">
        <v>35</v>
      </c>
      <c r="E132" t="s">
        <v>216</v>
      </c>
      <c r="F132">
        <v>2014</v>
      </c>
      <c r="G132">
        <v>494478</v>
      </c>
      <c r="H132">
        <v>462631</v>
      </c>
      <c r="I132">
        <v>102509</v>
      </c>
      <c r="J132">
        <v>30446</v>
      </c>
      <c r="K132">
        <v>28490</v>
      </c>
      <c r="L132">
        <v>6533</v>
      </c>
      <c r="M132">
        <v>5251</v>
      </c>
      <c r="N132">
        <v>2587</v>
      </c>
      <c r="O132">
        <v>1886</v>
      </c>
      <c r="P132">
        <v>1788</v>
      </c>
      <c r="Q132">
        <v>1723</v>
      </c>
      <c r="R132">
        <v>1645</v>
      </c>
      <c r="S132">
        <v>1471</v>
      </c>
      <c r="T132">
        <v>1242</v>
      </c>
      <c r="U132">
        <v>1195</v>
      </c>
      <c r="V132">
        <v>1143</v>
      </c>
      <c r="W132">
        <v>1048</v>
      </c>
      <c r="X132">
        <v>959</v>
      </c>
      <c r="Y132">
        <v>705</v>
      </c>
      <c r="Z132">
        <v>700</v>
      </c>
      <c r="AA132">
        <v>684</v>
      </c>
      <c r="AB132">
        <v>600</v>
      </c>
      <c r="AC132">
        <v>587</v>
      </c>
      <c r="AD132">
        <v>463</v>
      </c>
      <c r="AE132">
        <v>447</v>
      </c>
      <c r="AF132">
        <v>408</v>
      </c>
      <c r="AG132">
        <v>395</v>
      </c>
      <c r="AH132">
        <v>388</v>
      </c>
      <c r="AI132">
        <v>371</v>
      </c>
      <c r="AJ132">
        <v>363</v>
      </c>
      <c r="AK132">
        <v>342</v>
      </c>
      <c r="AL132">
        <v>307</v>
      </c>
      <c r="AM132">
        <v>300</v>
      </c>
      <c r="AN132">
        <v>273</v>
      </c>
      <c r="AO132">
        <v>255</v>
      </c>
      <c r="AP132">
        <v>245</v>
      </c>
      <c r="AQ132">
        <v>213</v>
      </c>
      <c r="AR132">
        <v>208</v>
      </c>
      <c r="AS132">
        <v>197</v>
      </c>
      <c r="AT132">
        <v>176</v>
      </c>
      <c r="AU132">
        <v>134</v>
      </c>
      <c r="AV132">
        <v>128</v>
      </c>
      <c r="AW132">
        <v>0</v>
      </c>
      <c r="AX132">
        <v>1155914</v>
      </c>
    </row>
    <row r="133" spans="1:50" x14ac:dyDescent="0.2">
      <c r="A133" t="s">
        <v>7</v>
      </c>
      <c r="C133">
        <v>131</v>
      </c>
      <c r="D133">
        <v>24</v>
      </c>
      <c r="E133" t="s">
        <v>217</v>
      </c>
      <c r="F133">
        <v>2014</v>
      </c>
      <c r="G133">
        <v>594817</v>
      </c>
      <c r="H133">
        <v>234670</v>
      </c>
      <c r="I133">
        <v>187902</v>
      </c>
      <c r="J133">
        <v>102628</v>
      </c>
      <c r="K133">
        <v>32060</v>
      </c>
      <c r="L133">
        <v>10945</v>
      </c>
      <c r="M133">
        <v>3442</v>
      </c>
      <c r="N133">
        <v>2929</v>
      </c>
      <c r="O133">
        <v>2775</v>
      </c>
      <c r="P133">
        <v>2723</v>
      </c>
      <c r="Q133">
        <v>2654</v>
      </c>
      <c r="R133">
        <v>1937</v>
      </c>
      <c r="S133">
        <v>1757</v>
      </c>
      <c r="T133">
        <v>1544</v>
      </c>
      <c r="U133">
        <v>1468</v>
      </c>
      <c r="V133">
        <v>1314</v>
      </c>
      <c r="W133">
        <v>1276</v>
      </c>
      <c r="X133">
        <v>1260</v>
      </c>
      <c r="Y133">
        <v>1144</v>
      </c>
      <c r="Z133">
        <v>940</v>
      </c>
      <c r="AA133">
        <v>885</v>
      </c>
      <c r="AB133">
        <v>865</v>
      </c>
      <c r="AC133">
        <v>806</v>
      </c>
      <c r="AD133">
        <v>759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1193500</v>
      </c>
    </row>
    <row r="134" spans="1:50" x14ac:dyDescent="0.2">
      <c r="A134" t="s">
        <v>7</v>
      </c>
      <c r="C134">
        <v>132</v>
      </c>
      <c r="D134">
        <v>24</v>
      </c>
      <c r="E134" t="s">
        <v>218</v>
      </c>
      <c r="F134">
        <v>2014</v>
      </c>
      <c r="G134">
        <v>347203</v>
      </c>
      <c r="H134">
        <v>269789</v>
      </c>
      <c r="I134">
        <v>264404</v>
      </c>
      <c r="J134">
        <v>48597</v>
      </c>
      <c r="K134">
        <v>24103</v>
      </c>
      <c r="L134">
        <v>5534</v>
      </c>
      <c r="M134">
        <v>4405</v>
      </c>
      <c r="N134">
        <v>3950</v>
      </c>
      <c r="O134">
        <v>2525</v>
      </c>
      <c r="P134">
        <v>2417</v>
      </c>
      <c r="Q134">
        <v>2403</v>
      </c>
      <c r="R134">
        <v>1757</v>
      </c>
      <c r="S134">
        <v>1375</v>
      </c>
      <c r="T134">
        <v>965</v>
      </c>
      <c r="U134">
        <v>943</v>
      </c>
      <c r="V134">
        <v>916</v>
      </c>
      <c r="W134">
        <v>899</v>
      </c>
      <c r="X134">
        <v>671</v>
      </c>
      <c r="Y134">
        <v>656</v>
      </c>
      <c r="Z134">
        <v>550</v>
      </c>
      <c r="AA134">
        <v>492</v>
      </c>
      <c r="AB134">
        <v>468</v>
      </c>
      <c r="AC134">
        <v>357</v>
      </c>
      <c r="AD134">
        <v>259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985638</v>
      </c>
    </row>
    <row r="135" spans="1:50" x14ac:dyDescent="0.2">
      <c r="A135" t="s">
        <v>7</v>
      </c>
      <c r="C135">
        <v>133</v>
      </c>
      <c r="D135">
        <v>15</v>
      </c>
      <c r="E135" t="s">
        <v>219</v>
      </c>
      <c r="F135">
        <v>2014</v>
      </c>
      <c r="G135">
        <v>490063</v>
      </c>
      <c r="H135">
        <v>319436</v>
      </c>
      <c r="I135">
        <v>151120</v>
      </c>
      <c r="J135">
        <v>46759</v>
      </c>
      <c r="K135">
        <v>18690</v>
      </c>
      <c r="L135">
        <v>4932</v>
      </c>
      <c r="M135">
        <v>3151</v>
      </c>
      <c r="N135">
        <v>2497</v>
      </c>
      <c r="O135">
        <v>2449</v>
      </c>
      <c r="P135">
        <v>2032</v>
      </c>
      <c r="Q135">
        <v>947</v>
      </c>
      <c r="R135">
        <v>829</v>
      </c>
      <c r="S135">
        <v>614</v>
      </c>
      <c r="T135">
        <v>418</v>
      </c>
      <c r="U135">
        <v>394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1044331</v>
      </c>
    </row>
    <row r="136" spans="1:50" x14ac:dyDescent="0.2">
      <c r="A136" t="s">
        <v>7</v>
      </c>
      <c r="C136">
        <v>134</v>
      </c>
      <c r="D136">
        <v>27</v>
      </c>
      <c r="E136" t="s">
        <v>220</v>
      </c>
      <c r="F136">
        <v>2014</v>
      </c>
      <c r="G136">
        <v>404542</v>
      </c>
      <c r="H136">
        <v>275148</v>
      </c>
      <c r="I136">
        <v>268115</v>
      </c>
      <c r="J136">
        <v>27834</v>
      </c>
      <c r="K136">
        <v>22200</v>
      </c>
      <c r="L136">
        <v>6265</v>
      </c>
      <c r="M136">
        <v>3441</v>
      </c>
      <c r="N136">
        <v>3195</v>
      </c>
      <c r="O136">
        <v>3151</v>
      </c>
      <c r="P136">
        <v>2357</v>
      </c>
      <c r="Q136">
        <v>1994</v>
      </c>
      <c r="R136">
        <v>1617</v>
      </c>
      <c r="S136">
        <v>1493</v>
      </c>
      <c r="T136">
        <v>1334</v>
      </c>
      <c r="U136">
        <v>1060</v>
      </c>
      <c r="V136">
        <v>1020</v>
      </c>
      <c r="W136">
        <v>995</v>
      </c>
      <c r="X136">
        <v>826</v>
      </c>
      <c r="Y136">
        <v>708</v>
      </c>
      <c r="Z136">
        <v>603</v>
      </c>
      <c r="AA136">
        <v>523</v>
      </c>
      <c r="AB136">
        <v>393</v>
      </c>
      <c r="AC136">
        <v>391</v>
      </c>
      <c r="AD136">
        <v>361</v>
      </c>
      <c r="AE136">
        <v>297</v>
      </c>
      <c r="AF136">
        <v>293</v>
      </c>
      <c r="AG136">
        <v>275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1030431</v>
      </c>
    </row>
    <row r="137" spans="1:50" x14ac:dyDescent="0.2">
      <c r="A137" t="s">
        <v>7</v>
      </c>
      <c r="C137">
        <v>135</v>
      </c>
      <c r="D137">
        <v>22</v>
      </c>
      <c r="E137" t="s">
        <v>221</v>
      </c>
      <c r="F137">
        <v>2014</v>
      </c>
      <c r="G137">
        <v>644780</v>
      </c>
      <c r="H137">
        <v>370058</v>
      </c>
      <c r="I137">
        <v>133713</v>
      </c>
      <c r="J137">
        <v>79456</v>
      </c>
      <c r="K137">
        <v>65009</v>
      </c>
      <c r="L137">
        <v>7821</v>
      </c>
      <c r="M137">
        <v>3147</v>
      </c>
      <c r="N137">
        <v>3043</v>
      </c>
      <c r="O137">
        <v>2658</v>
      </c>
      <c r="P137">
        <v>1429</v>
      </c>
      <c r="Q137">
        <v>1153</v>
      </c>
      <c r="R137">
        <v>1021</v>
      </c>
      <c r="S137">
        <v>938</v>
      </c>
      <c r="T137">
        <v>923</v>
      </c>
      <c r="U137">
        <v>804</v>
      </c>
      <c r="V137">
        <v>713</v>
      </c>
      <c r="W137">
        <v>699</v>
      </c>
      <c r="X137">
        <v>685</v>
      </c>
      <c r="Y137">
        <v>566</v>
      </c>
      <c r="Z137">
        <v>0</v>
      </c>
      <c r="AA137">
        <v>494</v>
      </c>
      <c r="AB137">
        <v>489</v>
      </c>
      <c r="AC137">
        <v>455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1320054</v>
      </c>
    </row>
    <row r="138" spans="1:50" x14ac:dyDescent="0.2">
      <c r="A138" t="s">
        <v>7</v>
      </c>
      <c r="C138">
        <v>136</v>
      </c>
      <c r="D138">
        <v>28</v>
      </c>
      <c r="E138" t="s">
        <v>222</v>
      </c>
      <c r="F138">
        <v>2014</v>
      </c>
      <c r="G138">
        <v>652516</v>
      </c>
      <c r="H138">
        <v>185643</v>
      </c>
      <c r="I138">
        <v>132472</v>
      </c>
      <c r="J138">
        <v>67355</v>
      </c>
      <c r="K138">
        <v>66000</v>
      </c>
      <c r="L138">
        <v>3328</v>
      </c>
      <c r="M138">
        <v>2761</v>
      </c>
      <c r="N138">
        <v>2550</v>
      </c>
      <c r="O138">
        <v>1942</v>
      </c>
      <c r="P138">
        <v>1940</v>
      </c>
      <c r="Q138">
        <v>1735</v>
      </c>
      <c r="R138">
        <v>1689</v>
      </c>
      <c r="S138">
        <v>1104</v>
      </c>
      <c r="T138">
        <v>1084</v>
      </c>
      <c r="U138">
        <v>976</v>
      </c>
      <c r="V138">
        <v>967</v>
      </c>
      <c r="W138">
        <v>711</v>
      </c>
      <c r="X138">
        <v>685</v>
      </c>
      <c r="Y138">
        <v>665</v>
      </c>
      <c r="Z138">
        <v>656</v>
      </c>
      <c r="AA138">
        <v>644</v>
      </c>
      <c r="AB138">
        <v>620</v>
      </c>
      <c r="AC138">
        <v>524</v>
      </c>
      <c r="AD138">
        <v>479</v>
      </c>
      <c r="AE138">
        <v>442</v>
      </c>
      <c r="AF138">
        <v>420</v>
      </c>
      <c r="AG138">
        <v>410</v>
      </c>
      <c r="AH138">
        <v>407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1130725</v>
      </c>
    </row>
    <row r="139" spans="1:50" x14ac:dyDescent="0.2">
      <c r="A139" t="s">
        <v>8</v>
      </c>
      <c r="C139">
        <v>137</v>
      </c>
      <c r="D139">
        <v>13</v>
      </c>
      <c r="E139" t="s">
        <v>223</v>
      </c>
      <c r="F139">
        <v>2014</v>
      </c>
      <c r="G139">
        <v>456163</v>
      </c>
      <c r="H139">
        <v>286091</v>
      </c>
      <c r="I139">
        <v>24430</v>
      </c>
      <c r="J139">
        <v>8704</v>
      </c>
      <c r="K139">
        <v>5949</v>
      </c>
      <c r="L139">
        <v>5585</v>
      </c>
      <c r="M139">
        <v>4106</v>
      </c>
      <c r="N139">
        <v>3757</v>
      </c>
      <c r="O139">
        <v>1133</v>
      </c>
      <c r="P139">
        <v>1085</v>
      </c>
      <c r="Q139">
        <v>997</v>
      </c>
      <c r="R139">
        <v>808</v>
      </c>
      <c r="S139">
        <v>637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799445</v>
      </c>
    </row>
    <row r="140" spans="1:50" x14ac:dyDescent="0.2">
      <c r="A140" t="s">
        <v>8</v>
      </c>
      <c r="C140">
        <v>138</v>
      </c>
      <c r="D140">
        <v>10</v>
      </c>
      <c r="E140" t="s">
        <v>224</v>
      </c>
      <c r="F140">
        <v>2014</v>
      </c>
      <c r="G140">
        <v>362824</v>
      </c>
      <c r="H140">
        <v>322968</v>
      </c>
      <c r="I140">
        <v>13965</v>
      </c>
      <c r="J140">
        <v>9359</v>
      </c>
      <c r="K140">
        <v>6191</v>
      </c>
      <c r="L140">
        <v>5167</v>
      </c>
      <c r="M140">
        <v>1928</v>
      </c>
      <c r="N140">
        <v>1868</v>
      </c>
      <c r="O140">
        <v>923</v>
      </c>
      <c r="P140">
        <v>901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726094</v>
      </c>
    </row>
    <row r="141" spans="1:50" x14ac:dyDescent="0.2">
      <c r="A141" t="s">
        <v>8</v>
      </c>
      <c r="C141">
        <v>139</v>
      </c>
      <c r="D141">
        <v>11</v>
      </c>
      <c r="E141" t="s">
        <v>225</v>
      </c>
      <c r="F141">
        <v>2014</v>
      </c>
      <c r="G141">
        <v>448035</v>
      </c>
      <c r="H141">
        <v>349632</v>
      </c>
      <c r="I141">
        <v>15329</v>
      </c>
      <c r="J141">
        <v>6473</v>
      </c>
      <c r="K141">
        <v>5827</v>
      </c>
      <c r="L141">
        <v>3687</v>
      </c>
      <c r="M141">
        <v>2328</v>
      </c>
      <c r="N141">
        <v>1692</v>
      </c>
      <c r="O141">
        <v>952</v>
      </c>
      <c r="P141">
        <v>647</v>
      </c>
      <c r="Q141">
        <v>603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835205</v>
      </c>
    </row>
    <row r="142" spans="1:50" x14ac:dyDescent="0.2">
      <c r="A142" t="s">
        <v>8</v>
      </c>
      <c r="C142">
        <v>140</v>
      </c>
      <c r="D142">
        <v>8</v>
      </c>
      <c r="E142" t="s">
        <v>226</v>
      </c>
      <c r="F142">
        <v>2014</v>
      </c>
      <c r="G142">
        <v>385973</v>
      </c>
      <c r="H142">
        <v>301786</v>
      </c>
      <c r="I142">
        <v>14233</v>
      </c>
      <c r="J142">
        <v>11434</v>
      </c>
      <c r="K142">
        <v>7787</v>
      </c>
      <c r="L142">
        <v>6173</v>
      </c>
      <c r="M142">
        <v>5985</v>
      </c>
      <c r="N142">
        <v>4385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737756</v>
      </c>
    </row>
    <row r="143" spans="1:50" x14ac:dyDescent="0.2">
      <c r="A143" t="s">
        <v>9</v>
      </c>
      <c r="C143">
        <v>141</v>
      </c>
      <c r="D143">
        <v>16</v>
      </c>
      <c r="E143" t="s">
        <v>227</v>
      </c>
      <c r="F143">
        <v>2014</v>
      </c>
      <c r="G143">
        <v>175277</v>
      </c>
      <c r="H143">
        <v>146058</v>
      </c>
      <c r="I143">
        <v>71154</v>
      </c>
      <c r="J143">
        <v>22090</v>
      </c>
      <c r="K143">
        <v>7301</v>
      </c>
      <c r="L143">
        <v>6558</v>
      </c>
      <c r="M143">
        <v>5788</v>
      </c>
      <c r="N143">
        <v>5566</v>
      </c>
      <c r="O143">
        <v>4568</v>
      </c>
      <c r="P143">
        <v>4141</v>
      </c>
      <c r="Q143">
        <v>4006</v>
      </c>
      <c r="R143">
        <v>3655</v>
      </c>
      <c r="S143">
        <v>3143</v>
      </c>
      <c r="T143">
        <v>2694</v>
      </c>
      <c r="U143">
        <v>2050</v>
      </c>
      <c r="V143">
        <v>1943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465992</v>
      </c>
    </row>
    <row r="144" spans="1:50" x14ac:dyDescent="0.2">
      <c r="A144" t="s">
        <v>9</v>
      </c>
      <c r="C144">
        <v>142</v>
      </c>
      <c r="D144">
        <v>15</v>
      </c>
      <c r="E144" t="s">
        <v>228</v>
      </c>
      <c r="F144">
        <v>2014</v>
      </c>
      <c r="G144">
        <v>157923</v>
      </c>
      <c r="H144">
        <v>115643</v>
      </c>
      <c r="I144">
        <v>16050</v>
      </c>
      <c r="J144">
        <v>4979</v>
      </c>
      <c r="K144">
        <v>4467</v>
      </c>
      <c r="L144">
        <v>3271</v>
      </c>
      <c r="M144">
        <v>2802</v>
      </c>
      <c r="N144">
        <v>1668</v>
      </c>
      <c r="O144">
        <v>1215</v>
      </c>
      <c r="P144">
        <v>1157</v>
      </c>
      <c r="Q144">
        <v>864</v>
      </c>
      <c r="R144">
        <v>608</v>
      </c>
      <c r="S144">
        <v>583</v>
      </c>
      <c r="T144">
        <v>521</v>
      </c>
      <c r="U144">
        <v>461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312212</v>
      </c>
    </row>
    <row r="145" spans="1:50" x14ac:dyDescent="0.2">
      <c r="A145" t="s">
        <v>9</v>
      </c>
      <c r="C145">
        <v>143</v>
      </c>
      <c r="D145">
        <v>13</v>
      </c>
      <c r="E145" t="s">
        <v>229</v>
      </c>
      <c r="F145">
        <v>2014</v>
      </c>
      <c r="G145">
        <v>200429</v>
      </c>
      <c r="H145">
        <v>135012</v>
      </c>
      <c r="I145">
        <v>7340</v>
      </c>
      <c r="J145">
        <v>5936</v>
      </c>
      <c r="K145">
        <v>4720</v>
      </c>
      <c r="L145">
        <v>4345</v>
      </c>
      <c r="M145">
        <v>3439</v>
      </c>
      <c r="N145">
        <v>3312</v>
      </c>
      <c r="O145">
        <v>3286</v>
      </c>
      <c r="P145">
        <v>3252</v>
      </c>
      <c r="Q145">
        <v>1837</v>
      </c>
      <c r="R145">
        <v>1568</v>
      </c>
      <c r="S145">
        <v>803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375279</v>
      </c>
    </row>
    <row r="146" spans="1:50" x14ac:dyDescent="0.2">
      <c r="A146" t="s">
        <v>9</v>
      </c>
      <c r="C146">
        <v>144</v>
      </c>
      <c r="D146">
        <v>5</v>
      </c>
      <c r="E146" t="s">
        <v>230</v>
      </c>
      <c r="F146">
        <v>2014</v>
      </c>
      <c r="G146">
        <v>31111</v>
      </c>
      <c r="H146">
        <v>31075</v>
      </c>
      <c r="I146">
        <v>28234</v>
      </c>
      <c r="J146">
        <v>26402</v>
      </c>
      <c r="K146">
        <v>1207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118029</v>
      </c>
    </row>
    <row r="147" spans="1:50" x14ac:dyDescent="0.2">
      <c r="A147" t="s">
        <v>9</v>
      </c>
      <c r="C147">
        <v>145</v>
      </c>
      <c r="D147">
        <v>14</v>
      </c>
      <c r="E147" t="s">
        <v>231</v>
      </c>
      <c r="F147">
        <v>2014</v>
      </c>
      <c r="G147">
        <v>487369</v>
      </c>
      <c r="H147">
        <v>426393</v>
      </c>
      <c r="I147">
        <v>30461</v>
      </c>
      <c r="J147">
        <v>25312</v>
      </c>
      <c r="K147">
        <v>16437</v>
      </c>
      <c r="L147">
        <v>15188</v>
      </c>
      <c r="M147">
        <v>10478</v>
      </c>
      <c r="N147">
        <v>9217</v>
      </c>
      <c r="O147">
        <v>7339</v>
      </c>
      <c r="P147">
        <v>5755</v>
      </c>
      <c r="Q147">
        <v>2187</v>
      </c>
      <c r="R147">
        <v>1971</v>
      </c>
      <c r="S147">
        <v>1842</v>
      </c>
      <c r="T147">
        <v>1809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1041758</v>
      </c>
    </row>
    <row r="148" spans="1:50" x14ac:dyDescent="0.2">
      <c r="A148" t="s">
        <v>9</v>
      </c>
      <c r="C148">
        <v>146</v>
      </c>
      <c r="D148">
        <v>20</v>
      </c>
      <c r="E148" t="s">
        <v>232</v>
      </c>
      <c r="F148">
        <v>2014</v>
      </c>
      <c r="G148">
        <v>619995</v>
      </c>
      <c r="H148">
        <v>362715</v>
      </c>
      <c r="I148">
        <v>168554</v>
      </c>
      <c r="J148">
        <v>31199</v>
      </c>
      <c r="K148">
        <v>9071</v>
      </c>
      <c r="L148">
        <v>7423</v>
      </c>
      <c r="M148">
        <v>7173</v>
      </c>
      <c r="N148">
        <v>6042</v>
      </c>
      <c r="O148">
        <v>5286</v>
      </c>
      <c r="P148">
        <v>5125</v>
      </c>
      <c r="Q148">
        <v>5046</v>
      </c>
      <c r="R148">
        <v>4382</v>
      </c>
      <c r="S148">
        <v>4177</v>
      </c>
      <c r="T148">
        <v>3164</v>
      </c>
      <c r="U148">
        <v>2991</v>
      </c>
      <c r="V148">
        <v>2582</v>
      </c>
      <c r="W148">
        <v>2469</v>
      </c>
      <c r="X148">
        <v>2205</v>
      </c>
      <c r="Y148">
        <v>2013</v>
      </c>
      <c r="Z148">
        <v>1981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1253593</v>
      </c>
    </row>
    <row r="149" spans="1:50" x14ac:dyDescent="0.2">
      <c r="A149" t="s">
        <v>10</v>
      </c>
      <c r="C149">
        <v>147</v>
      </c>
      <c r="D149">
        <v>13</v>
      </c>
      <c r="E149" t="s">
        <v>233</v>
      </c>
      <c r="F149">
        <v>2014</v>
      </c>
      <c r="G149">
        <v>474373</v>
      </c>
      <c r="H149">
        <v>471370</v>
      </c>
      <c r="I149">
        <v>42738</v>
      </c>
      <c r="J149">
        <v>39992</v>
      </c>
      <c r="K149">
        <v>14493</v>
      </c>
      <c r="L149">
        <v>10289</v>
      </c>
      <c r="M149">
        <v>3622</v>
      </c>
      <c r="N149">
        <v>3529</v>
      </c>
      <c r="O149">
        <v>3458</v>
      </c>
      <c r="P149">
        <v>2624</v>
      </c>
      <c r="Q149">
        <v>1744</v>
      </c>
      <c r="R149">
        <v>1457</v>
      </c>
      <c r="S149">
        <v>1414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1071103</v>
      </c>
    </row>
    <row r="150" spans="1:50" x14ac:dyDescent="0.2">
      <c r="A150" t="s">
        <v>10</v>
      </c>
      <c r="C150">
        <v>148</v>
      </c>
      <c r="D150">
        <v>16</v>
      </c>
      <c r="E150" t="s">
        <v>234</v>
      </c>
      <c r="F150">
        <v>2014</v>
      </c>
      <c r="G150">
        <v>554417</v>
      </c>
      <c r="H150">
        <v>478557</v>
      </c>
      <c r="I150">
        <v>11509</v>
      </c>
      <c r="J150">
        <v>8524</v>
      </c>
      <c r="K150">
        <v>5477</v>
      </c>
      <c r="L150">
        <v>3535</v>
      </c>
      <c r="M150">
        <v>3468</v>
      </c>
      <c r="N150">
        <v>3246</v>
      </c>
      <c r="O150">
        <v>1757</v>
      </c>
      <c r="P150">
        <v>1656</v>
      </c>
      <c r="Q150">
        <v>1458</v>
      </c>
      <c r="R150">
        <v>1261</v>
      </c>
      <c r="S150">
        <v>1187</v>
      </c>
      <c r="T150">
        <v>920</v>
      </c>
      <c r="U150">
        <v>781</v>
      </c>
      <c r="V150">
        <v>775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1078528</v>
      </c>
    </row>
    <row r="151" spans="1:50" x14ac:dyDescent="0.2">
      <c r="A151" t="s">
        <v>10</v>
      </c>
      <c r="C151">
        <v>149</v>
      </c>
      <c r="D151">
        <v>14</v>
      </c>
      <c r="E151" t="s">
        <v>235</v>
      </c>
      <c r="F151">
        <v>2014</v>
      </c>
      <c r="G151">
        <v>571548</v>
      </c>
      <c r="H151">
        <v>454988</v>
      </c>
      <c r="I151">
        <v>10959</v>
      </c>
      <c r="J151">
        <v>10764</v>
      </c>
      <c r="K151">
        <v>7370</v>
      </c>
      <c r="L151">
        <v>7237</v>
      </c>
      <c r="M151">
        <v>4325</v>
      </c>
      <c r="N151">
        <v>3897</v>
      </c>
      <c r="O151">
        <v>2037</v>
      </c>
      <c r="P151">
        <v>2004</v>
      </c>
      <c r="Q151">
        <v>1194</v>
      </c>
      <c r="R151">
        <v>1180</v>
      </c>
      <c r="S151">
        <v>994</v>
      </c>
      <c r="T151">
        <v>813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1079310</v>
      </c>
    </row>
    <row r="152" spans="1:50" x14ac:dyDescent="0.2">
      <c r="A152" t="s">
        <v>10</v>
      </c>
      <c r="C152">
        <v>150</v>
      </c>
      <c r="D152">
        <v>15</v>
      </c>
      <c r="E152" t="s">
        <v>236</v>
      </c>
      <c r="F152">
        <v>2014</v>
      </c>
      <c r="G152">
        <v>471757</v>
      </c>
      <c r="H152">
        <v>401938</v>
      </c>
      <c r="I152">
        <v>57551</v>
      </c>
      <c r="J152">
        <v>8287</v>
      </c>
      <c r="K152">
        <v>4717</v>
      </c>
      <c r="L152">
        <v>3795</v>
      </c>
      <c r="M152">
        <v>2818</v>
      </c>
      <c r="N152">
        <v>2775</v>
      </c>
      <c r="O152">
        <v>2691</v>
      </c>
      <c r="P152">
        <v>2259</v>
      </c>
      <c r="Q152">
        <v>2194</v>
      </c>
      <c r="R152">
        <v>1930</v>
      </c>
      <c r="S152">
        <v>1422</v>
      </c>
      <c r="T152">
        <v>1340</v>
      </c>
      <c r="U152">
        <v>1283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966757</v>
      </c>
    </row>
    <row r="153" spans="1:50" x14ac:dyDescent="0.2">
      <c r="A153" t="s">
        <v>10</v>
      </c>
      <c r="C153">
        <v>151</v>
      </c>
      <c r="D153">
        <v>9</v>
      </c>
      <c r="E153" t="s">
        <v>237</v>
      </c>
      <c r="F153">
        <v>2014</v>
      </c>
      <c r="G153">
        <v>507193</v>
      </c>
      <c r="H153">
        <v>432460</v>
      </c>
      <c r="I153">
        <v>15690</v>
      </c>
      <c r="J153">
        <v>11428</v>
      </c>
      <c r="K153">
        <v>9888</v>
      </c>
      <c r="L153">
        <v>9074</v>
      </c>
      <c r="M153">
        <v>4943</v>
      </c>
      <c r="N153">
        <v>4085</v>
      </c>
      <c r="O153">
        <v>2877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997638</v>
      </c>
    </row>
    <row r="154" spans="1:50" x14ac:dyDescent="0.2">
      <c r="A154" t="s">
        <v>10</v>
      </c>
      <c r="C154">
        <v>152</v>
      </c>
      <c r="D154">
        <v>12</v>
      </c>
      <c r="E154" t="s">
        <v>238</v>
      </c>
      <c r="F154">
        <v>2014</v>
      </c>
      <c r="G154">
        <v>443659</v>
      </c>
      <c r="H154">
        <v>442160</v>
      </c>
      <c r="I154">
        <v>21706</v>
      </c>
      <c r="J154">
        <v>13176</v>
      </c>
      <c r="K154">
        <v>12254</v>
      </c>
      <c r="L154">
        <v>6938</v>
      </c>
      <c r="M154">
        <v>6788</v>
      </c>
      <c r="N154">
        <v>6540</v>
      </c>
      <c r="O154">
        <v>4935</v>
      </c>
      <c r="P154">
        <v>4234</v>
      </c>
      <c r="Q154">
        <v>3618</v>
      </c>
      <c r="R154">
        <v>2881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968889</v>
      </c>
    </row>
    <row r="155" spans="1:50" x14ac:dyDescent="0.2">
      <c r="A155" t="s">
        <v>10</v>
      </c>
      <c r="C155">
        <v>153</v>
      </c>
      <c r="D155">
        <v>25</v>
      </c>
      <c r="E155" t="s">
        <v>239</v>
      </c>
      <c r="F155">
        <v>2014</v>
      </c>
      <c r="G155">
        <v>459290</v>
      </c>
      <c r="H155">
        <v>367068</v>
      </c>
      <c r="I155">
        <v>58728</v>
      </c>
      <c r="J155">
        <v>15079</v>
      </c>
      <c r="K155">
        <v>7118</v>
      </c>
      <c r="L155">
        <v>5818</v>
      </c>
      <c r="M155">
        <v>5097</v>
      </c>
      <c r="N155">
        <v>4540</v>
      </c>
      <c r="O155">
        <v>4379</v>
      </c>
      <c r="P155">
        <v>3747</v>
      </c>
      <c r="Q155">
        <v>2869</v>
      </c>
      <c r="R155">
        <v>2862</v>
      </c>
      <c r="S155">
        <v>2817</v>
      </c>
      <c r="T155">
        <v>2307</v>
      </c>
      <c r="U155">
        <v>2204</v>
      </c>
      <c r="V155">
        <v>2095</v>
      </c>
      <c r="W155">
        <v>1976</v>
      </c>
      <c r="X155">
        <v>1742</v>
      </c>
      <c r="Y155">
        <v>1462</v>
      </c>
      <c r="Z155">
        <v>1427</v>
      </c>
      <c r="AA155">
        <v>1414</v>
      </c>
      <c r="AB155">
        <v>1406</v>
      </c>
      <c r="AC155">
        <v>1378</v>
      </c>
      <c r="AD155">
        <v>1302</v>
      </c>
      <c r="AE155">
        <v>1259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959384</v>
      </c>
    </row>
    <row r="156" spans="1:50" x14ac:dyDescent="0.2">
      <c r="A156" t="s">
        <v>10</v>
      </c>
      <c r="C156">
        <v>154</v>
      </c>
      <c r="D156">
        <v>17</v>
      </c>
      <c r="E156" t="s">
        <v>240</v>
      </c>
      <c r="F156">
        <v>2014</v>
      </c>
      <c r="G156">
        <v>486383</v>
      </c>
      <c r="H156">
        <v>453969</v>
      </c>
      <c r="I156">
        <v>12947</v>
      </c>
      <c r="J156">
        <v>9529</v>
      </c>
      <c r="K156">
        <v>8292</v>
      </c>
      <c r="L156">
        <v>6300</v>
      </c>
      <c r="M156">
        <v>4433</v>
      </c>
      <c r="N156">
        <v>3425</v>
      </c>
      <c r="O156">
        <v>2894</v>
      </c>
      <c r="P156">
        <v>2839</v>
      </c>
      <c r="Q156">
        <v>2636</v>
      </c>
      <c r="R156">
        <v>2459</v>
      </c>
      <c r="S156">
        <v>2305</v>
      </c>
      <c r="T156">
        <v>2129</v>
      </c>
      <c r="U156">
        <v>2089</v>
      </c>
      <c r="V156">
        <v>2012</v>
      </c>
      <c r="W156">
        <v>1867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1006508</v>
      </c>
    </row>
    <row r="157" spans="1:50" x14ac:dyDescent="0.2">
      <c r="A157" t="s">
        <v>10</v>
      </c>
      <c r="C157">
        <v>155</v>
      </c>
      <c r="D157">
        <v>12</v>
      </c>
      <c r="E157" t="s">
        <v>241</v>
      </c>
      <c r="F157">
        <v>2014</v>
      </c>
      <c r="G157">
        <v>534406</v>
      </c>
      <c r="H157">
        <v>449262</v>
      </c>
      <c r="I157">
        <v>12613</v>
      </c>
      <c r="J157">
        <v>11320</v>
      </c>
      <c r="K157">
        <v>8486</v>
      </c>
      <c r="L157">
        <v>6038</v>
      </c>
      <c r="M157">
        <v>5206</v>
      </c>
      <c r="N157">
        <v>3888</v>
      </c>
      <c r="O157">
        <v>3501</v>
      </c>
      <c r="P157">
        <v>2456</v>
      </c>
      <c r="Q157">
        <v>2042</v>
      </c>
      <c r="R157">
        <v>1997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1041215</v>
      </c>
    </row>
    <row r="158" spans="1:50" x14ac:dyDescent="0.2">
      <c r="A158" t="s">
        <v>10</v>
      </c>
      <c r="C158">
        <v>156</v>
      </c>
      <c r="D158">
        <v>20</v>
      </c>
      <c r="E158" t="s">
        <v>242</v>
      </c>
      <c r="F158">
        <v>2014</v>
      </c>
      <c r="G158">
        <v>566790</v>
      </c>
      <c r="H158">
        <v>479219</v>
      </c>
      <c r="I158">
        <v>15656</v>
      </c>
      <c r="J158">
        <v>9814</v>
      </c>
      <c r="K158">
        <v>7320</v>
      </c>
      <c r="L158">
        <v>6229</v>
      </c>
      <c r="M158">
        <v>5997</v>
      </c>
      <c r="N158">
        <v>3806</v>
      </c>
      <c r="O158">
        <v>3780</v>
      </c>
      <c r="P158">
        <v>3528</v>
      </c>
      <c r="Q158">
        <v>2329</v>
      </c>
      <c r="R158">
        <v>2296</v>
      </c>
      <c r="S158">
        <v>1602</v>
      </c>
      <c r="T158">
        <v>1490</v>
      </c>
      <c r="U158">
        <v>1314</v>
      </c>
      <c r="V158">
        <v>1224</v>
      </c>
      <c r="W158">
        <v>974</v>
      </c>
      <c r="X158">
        <v>946</v>
      </c>
      <c r="Y158">
        <v>883</v>
      </c>
      <c r="Z158">
        <v>771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1115968</v>
      </c>
    </row>
    <row r="159" spans="1:50" x14ac:dyDescent="0.2">
      <c r="A159" t="s">
        <v>10</v>
      </c>
      <c r="C159">
        <v>157</v>
      </c>
      <c r="D159">
        <v>18</v>
      </c>
      <c r="E159" t="s">
        <v>243</v>
      </c>
      <c r="F159">
        <v>2014</v>
      </c>
      <c r="G159">
        <v>545395</v>
      </c>
      <c r="H159">
        <v>431738</v>
      </c>
      <c r="I159">
        <v>12937</v>
      </c>
      <c r="J159">
        <v>8836</v>
      </c>
      <c r="K159">
        <v>6858</v>
      </c>
      <c r="L159">
        <v>6196</v>
      </c>
      <c r="M159">
        <v>5465</v>
      </c>
      <c r="N159">
        <v>4349</v>
      </c>
      <c r="O159">
        <v>4128</v>
      </c>
      <c r="P159">
        <v>3018</v>
      </c>
      <c r="Q159">
        <v>2359</v>
      </c>
      <c r="R159">
        <v>2174</v>
      </c>
      <c r="S159">
        <v>1785</v>
      </c>
      <c r="T159">
        <v>1587</v>
      </c>
      <c r="U159">
        <v>1368</v>
      </c>
      <c r="V159">
        <v>1053</v>
      </c>
      <c r="W159">
        <v>995</v>
      </c>
      <c r="X159">
        <v>985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1041226</v>
      </c>
    </row>
    <row r="160" spans="1:50" x14ac:dyDescent="0.2">
      <c r="A160" t="s">
        <v>10</v>
      </c>
      <c r="C160">
        <v>158</v>
      </c>
      <c r="D160">
        <v>10</v>
      </c>
      <c r="E160" t="s">
        <v>244</v>
      </c>
      <c r="F160">
        <v>2014</v>
      </c>
      <c r="G160">
        <v>546939</v>
      </c>
      <c r="H160">
        <v>406239</v>
      </c>
      <c r="I160">
        <v>16277</v>
      </c>
      <c r="J160">
        <v>7404</v>
      </c>
      <c r="K160">
        <v>6281</v>
      </c>
      <c r="L160">
        <v>6215</v>
      </c>
      <c r="M160">
        <v>4246</v>
      </c>
      <c r="N160">
        <v>3565</v>
      </c>
      <c r="O160">
        <v>2032</v>
      </c>
      <c r="P160">
        <v>1840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1001038</v>
      </c>
    </row>
    <row r="161" spans="1:50" x14ac:dyDescent="0.2">
      <c r="A161" t="s">
        <v>10</v>
      </c>
      <c r="C161">
        <v>159</v>
      </c>
      <c r="D161">
        <v>19</v>
      </c>
      <c r="E161" t="s">
        <v>245</v>
      </c>
      <c r="F161">
        <v>2014</v>
      </c>
      <c r="G161">
        <v>518894</v>
      </c>
      <c r="H161">
        <v>501287</v>
      </c>
      <c r="I161">
        <v>46911</v>
      </c>
      <c r="J161">
        <v>8064</v>
      </c>
      <c r="K161">
        <v>7097</v>
      </c>
      <c r="L161">
        <v>5581</v>
      </c>
      <c r="M161">
        <v>4536</v>
      </c>
      <c r="N161">
        <v>3972</v>
      </c>
      <c r="O161">
        <v>3312</v>
      </c>
      <c r="P161">
        <v>2732</v>
      </c>
      <c r="Q161">
        <v>2582</v>
      </c>
      <c r="R161">
        <v>1582</v>
      </c>
      <c r="S161">
        <v>1332</v>
      </c>
      <c r="T161">
        <v>1331</v>
      </c>
      <c r="U161">
        <v>1226</v>
      </c>
      <c r="V161">
        <v>1216</v>
      </c>
      <c r="W161">
        <v>1145</v>
      </c>
      <c r="X161">
        <v>1122</v>
      </c>
      <c r="Y161">
        <v>946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1114868</v>
      </c>
    </row>
    <row r="162" spans="1:50" x14ac:dyDescent="0.2">
      <c r="A162" t="s">
        <v>10</v>
      </c>
      <c r="C162">
        <v>160</v>
      </c>
      <c r="D162">
        <v>14</v>
      </c>
      <c r="E162" t="s">
        <v>246</v>
      </c>
      <c r="F162">
        <v>2014</v>
      </c>
      <c r="G162">
        <v>606216</v>
      </c>
      <c r="H162">
        <v>242911</v>
      </c>
      <c r="I162">
        <v>240636</v>
      </c>
      <c r="J162">
        <v>7542</v>
      </c>
      <c r="K162">
        <v>7077</v>
      </c>
      <c r="L162">
        <v>5053</v>
      </c>
      <c r="M162">
        <v>4537</v>
      </c>
      <c r="N162">
        <v>3869</v>
      </c>
      <c r="O162">
        <v>2709</v>
      </c>
      <c r="P162">
        <v>2234</v>
      </c>
      <c r="Q162">
        <v>2073</v>
      </c>
      <c r="R162">
        <v>1517</v>
      </c>
      <c r="S162">
        <v>1339</v>
      </c>
      <c r="T162">
        <v>1295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1129008</v>
      </c>
    </row>
    <row r="163" spans="1:50" x14ac:dyDescent="0.2">
      <c r="A163" t="s">
        <v>10</v>
      </c>
      <c r="C163">
        <v>161</v>
      </c>
      <c r="D163">
        <v>12</v>
      </c>
      <c r="E163" t="s">
        <v>247</v>
      </c>
      <c r="F163">
        <v>2014</v>
      </c>
      <c r="G163">
        <v>581168</v>
      </c>
      <c r="H163">
        <v>399525</v>
      </c>
      <c r="I163">
        <v>14895</v>
      </c>
      <c r="J163">
        <v>9691</v>
      </c>
      <c r="K163">
        <v>7828</v>
      </c>
      <c r="L163">
        <v>7449</v>
      </c>
      <c r="M163">
        <v>6049</v>
      </c>
      <c r="N163">
        <v>1899</v>
      </c>
      <c r="O163">
        <v>1689</v>
      </c>
      <c r="P163">
        <v>1612</v>
      </c>
      <c r="Q163">
        <v>1214</v>
      </c>
      <c r="R163">
        <v>1089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1034108</v>
      </c>
    </row>
    <row r="164" spans="1:50" x14ac:dyDescent="0.2">
      <c r="A164" t="s">
        <v>10</v>
      </c>
      <c r="C164">
        <v>162</v>
      </c>
      <c r="D164">
        <v>15</v>
      </c>
      <c r="E164" t="s">
        <v>248</v>
      </c>
      <c r="F164">
        <v>2014</v>
      </c>
      <c r="G164">
        <v>509841</v>
      </c>
      <c r="H164">
        <v>409379</v>
      </c>
      <c r="I164">
        <v>165688</v>
      </c>
      <c r="J164">
        <v>18905</v>
      </c>
      <c r="K164">
        <v>8018</v>
      </c>
      <c r="L164">
        <v>7334</v>
      </c>
      <c r="M164">
        <v>6798</v>
      </c>
      <c r="N164">
        <v>3841</v>
      </c>
      <c r="O164">
        <v>3536</v>
      </c>
      <c r="P164">
        <v>3262</v>
      </c>
      <c r="Q164">
        <v>3062</v>
      </c>
      <c r="R164">
        <v>2388</v>
      </c>
      <c r="S164">
        <v>2083</v>
      </c>
      <c r="T164">
        <v>1581</v>
      </c>
      <c r="U164">
        <v>1456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1147172</v>
      </c>
    </row>
    <row r="165" spans="1:50" x14ac:dyDescent="0.2">
      <c r="A165" t="s">
        <v>10</v>
      </c>
      <c r="C165">
        <v>163</v>
      </c>
      <c r="D165">
        <v>15</v>
      </c>
      <c r="E165" t="s">
        <v>249</v>
      </c>
      <c r="F165">
        <v>2014</v>
      </c>
      <c r="G165">
        <v>642739</v>
      </c>
      <c r="H165">
        <v>499030</v>
      </c>
      <c r="I165">
        <v>27254</v>
      </c>
      <c r="J165">
        <v>9394</v>
      </c>
      <c r="K165">
        <v>7109</v>
      </c>
      <c r="L165">
        <v>5442</v>
      </c>
      <c r="M165">
        <v>4471</v>
      </c>
      <c r="N165">
        <v>3421</v>
      </c>
      <c r="O165">
        <v>2450</v>
      </c>
      <c r="P165">
        <v>1613</v>
      </c>
      <c r="Q165">
        <v>1116</v>
      </c>
      <c r="R165">
        <v>1072</v>
      </c>
      <c r="S165">
        <v>905</v>
      </c>
      <c r="T165">
        <v>801</v>
      </c>
      <c r="U165">
        <v>657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1207474</v>
      </c>
    </row>
    <row r="166" spans="1:50" x14ac:dyDescent="0.2">
      <c r="A166" t="s">
        <v>10</v>
      </c>
      <c r="C166">
        <v>164</v>
      </c>
      <c r="D166">
        <v>15</v>
      </c>
      <c r="E166" t="s">
        <v>250</v>
      </c>
      <c r="F166">
        <v>2014</v>
      </c>
      <c r="G166">
        <v>467511</v>
      </c>
      <c r="H166">
        <v>366220</v>
      </c>
      <c r="I166">
        <v>202108</v>
      </c>
      <c r="J166">
        <v>14226</v>
      </c>
      <c r="K166">
        <v>9441</v>
      </c>
      <c r="L166">
        <v>8895</v>
      </c>
      <c r="M166">
        <v>4511</v>
      </c>
      <c r="N166">
        <v>3970</v>
      </c>
      <c r="O166">
        <v>3601</v>
      </c>
      <c r="P166">
        <v>3558</v>
      </c>
      <c r="Q166">
        <v>2951</v>
      </c>
      <c r="R166">
        <v>2816</v>
      </c>
      <c r="S166">
        <v>2702</v>
      </c>
      <c r="T166">
        <v>2171</v>
      </c>
      <c r="U166">
        <v>1818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1096499</v>
      </c>
    </row>
    <row r="167" spans="1:50" x14ac:dyDescent="0.2">
      <c r="A167" t="s">
        <v>10</v>
      </c>
      <c r="C167">
        <v>165</v>
      </c>
      <c r="D167">
        <v>17</v>
      </c>
      <c r="E167" t="s">
        <v>251</v>
      </c>
      <c r="F167">
        <v>2014</v>
      </c>
      <c r="G167">
        <v>429868</v>
      </c>
      <c r="H167">
        <v>355827</v>
      </c>
      <c r="I167">
        <v>258683</v>
      </c>
      <c r="J167">
        <v>12934</v>
      </c>
      <c r="K167">
        <v>10448</v>
      </c>
      <c r="L167">
        <v>8322</v>
      </c>
      <c r="M167">
        <v>6301</v>
      </c>
      <c r="N167">
        <v>4732</v>
      </c>
      <c r="O167">
        <v>2390</v>
      </c>
      <c r="P167">
        <v>2195</v>
      </c>
      <c r="Q167">
        <v>1674</v>
      </c>
      <c r="R167">
        <v>1673</v>
      </c>
      <c r="S167">
        <v>1528</v>
      </c>
      <c r="T167">
        <v>1507</v>
      </c>
      <c r="U167">
        <v>1245</v>
      </c>
      <c r="V167">
        <v>1094</v>
      </c>
      <c r="W167">
        <v>1063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1101484</v>
      </c>
    </row>
    <row r="168" spans="1:50" x14ac:dyDescent="0.2">
      <c r="A168" t="s">
        <v>10</v>
      </c>
      <c r="C168">
        <v>166</v>
      </c>
      <c r="D168">
        <v>17</v>
      </c>
      <c r="E168" t="s">
        <v>252</v>
      </c>
      <c r="F168">
        <v>2014</v>
      </c>
      <c r="G168">
        <v>524370</v>
      </c>
      <c r="H168">
        <v>518852</v>
      </c>
      <c r="I168">
        <v>86993</v>
      </c>
      <c r="J168">
        <v>22391</v>
      </c>
      <c r="K168">
        <v>8604</v>
      </c>
      <c r="L168">
        <v>6021</v>
      </c>
      <c r="M168">
        <v>4354</v>
      </c>
      <c r="N168">
        <v>4098</v>
      </c>
      <c r="O168">
        <v>4021</v>
      </c>
      <c r="P168">
        <v>3070</v>
      </c>
      <c r="Q168">
        <v>2163</v>
      </c>
      <c r="R168">
        <v>1643</v>
      </c>
      <c r="S168">
        <v>1423</v>
      </c>
      <c r="T168">
        <v>1179</v>
      </c>
      <c r="U168">
        <v>1172</v>
      </c>
      <c r="V168">
        <v>1165</v>
      </c>
      <c r="W168">
        <v>1119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1192638</v>
      </c>
    </row>
    <row r="169" spans="1:50" x14ac:dyDescent="0.2">
      <c r="A169" t="s">
        <v>10</v>
      </c>
      <c r="C169">
        <v>167</v>
      </c>
      <c r="D169">
        <v>16</v>
      </c>
      <c r="E169" t="s">
        <v>253</v>
      </c>
      <c r="F169">
        <v>2014</v>
      </c>
      <c r="G169">
        <v>503908</v>
      </c>
      <c r="H169">
        <v>472300</v>
      </c>
      <c r="I169">
        <v>138587</v>
      </c>
      <c r="J169">
        <v>13637</v>
      </c>
      <c r="K169">
        <v>8924</v>
      </c>
      <c r="L169">
        <v>5650</v>
      </c>
      <c r="M169">
        <v>3726</v>
      </c>
      <c r="N169">
        <v>2078</v>
      </c>
      <c r="O169">
        <v>2032</v>
      </c>
      <c r="P169">
        <v>1516</v>
      </c>
      <c r="Q169">
        <v>1439</v>
      </c>
      <c r="R169">
        <v>1342</v>
      </c>
      <c r="S169">
        <v>1246</v>
      </c>
      <c r="T169">
        <v>1215</v>
      </c>
      <c r="U169">
        <v>1016</v>
      </c>
      <c r="V169">
        <v>978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1159594</v>
      </c>
    </row>
    <row r="170" spans="1:50" x14ac:dyDescent="0.2">
      <c r="A170" t="s">
        <v>10</v>
      </c>
      <c r="C170">
        <v>168</v>
      </c>
      <c r="D170">
        <v>15</v>
      </c>
      <c r="E170" t="s">
        <v>254</v>
      </c>
      <c r="F170">
        <v>2014</v>
      </c>
      <c r="G170">
        <v>567782</v>
      </c>
      <c r="H170">
        <v>426600</v>
      </c>
      <c r="I170">
        <v>58760</v>
      </c>
      <c r="J170">
        <v>34846</v>
      </c>
      <c r="K170">
        <v>12697</v>
      </c>
      <c r="L170">
        <v>6604</v>
      </c>
      <c r="M170">
        <v>5398</v>
      </c>
      <c r="N170">
        <v>3906</v>
      </c>
      <c r="O170">
        <v>3357</v>
      </c>
      <c r="P170">
        <v>2762</v>
      </c>
      <c r="Q170">
        <v>2492</v>
      </c>
      <c r="R170">
        <v>2043</v>
      </c>
      <c r="S170">
        <v>2008</v>
      </c>
      <c r="T170">
        <v>1949</v>
      </c>
      <c r="U170">
        <v>1825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1133029</v>
      </c>
    </row>
    <row r="171" spans="1:50" x14ac:dyDescent="0.2">
      <c r="A171" t="s">
        <v>10</v>
      </c>
      <c r="C171">
        <v>169</v>
      </c>
      <c r="D171">
        <v>16</v>
      </c>
      <c r="E171" t="s">
        <v>255</v>
      </c>
      <c r="F171">
        <v>2014</v>
      </c>
      <c r="G171">
        <v>652723</v>
      </c>
      <c r="H171">
        <v>421243</v>
      </c>
      <c r="I171">
        <v>317870</v>
      </c>
      <c r="J171">
        <v>17195</v>
      </c>
      <c r="K171">
        <v>11594</v>
      </c>
      <c r="L171">
        <v>9871</v>
      </c>
      <c r="M171">
        <v>6154</v>
      </c>
      <c r="N171">
        <v>5420</v>
      </c>
      <c r="O171">
        <v>2782</v>
      </c>
      <c r="P171">
        <v>2577</v>
      </c>
      <c r="Q171">
        <v>2142</v>
      </c>
      <c r="R171">
        <v>1503</v>
      </c>
      <c r="S171">
        <v>1345</v>
      </c>
      <c r="T171">
        <v>1008</v>
      </c>
      <c r="U171">
        <v>958</v>
      </c>
      <c r="V171">
        <v>859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1455244</v>
      </c>
    </row>
    <row r="172" spans="1:50" x14ac:dyDescent="0.2">
      <c r="A172" t="s">
        <v>10</v>
      </c>
      <c r="C172">
        <v>170</v>
      </c>
      <c r="D172">
        <v>15</v>
      </c>
      <c r="E172" t="s">
        <v>256</v>
      </c>
      <c r="F172">
        <v>2014</v>
      </c>
      <c r="G172">
        <v>718326</v>
      </c>
      <c r="H172">
        <v>488562</v>
      </c>
      <c r="I172">
        <v>92681</v>
      </c>
      <c r="J172">
        <v>28107</v>
      </c>
      <c r="K172">
        <v>11996</v>
      </c>
      <c r="L172">
        <v>5586</v>
      </c>
      <c r="M172">
        <v>3784</v>
      </c>
      <c r="N172">
        <v>1561</v>
      </c>
      <c r="O172">
        <v>1131</v>
      </c>
      <c r="P172">
        <v>1033</v>
      </c>
      <c r="Q172">
        <v>919</v>
      </c>
      <c r="R172">
        <v>911</v>
      </c>
      <c r="S172">
        <v>829</v>
      </c>
      <c r="T172">
        <v>680</v>
      </c>
      <c r="U172">
        <v>612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1356718</v>
      </c>
    </row>
    <row r="173" spans="1:50" x14ac:dyDescent="0.2">
      <c r="A173" t="s">
        <v>10</v>
      </c>
      <c r="C173">
        <v>171</v>
      </c>
      <c r="D173">
        <v>27</v>
      </c>
      <c r="E173" t="s">
        <v>257</v>
      </c>
      <c r="F173">
        <v>2014</v>
      </c>
      <c r="G173">
        <v>557130</v>
      </c>
      <c r="H173">
        <v>419630</v>
      </c>
      <c r="I173">
        <v>39869</v>
      </c>
      <c r="J173">
        <v>20387</v>
      </c>
      <c r="K173">
        <v>8449</v>
      </c>
      <c r="L173">
        <v>5806</v>
      </c>
      <c r="M173">
        <v>3204</v>
      </c>
      <c r="N173">
        <v>2543</v>
      </c>
      <c r="O173">
        <v>2276</v>
      </c>
      <c r="P173">
        <v>1878</v>
      </c>
      <c r="Q173">
        <v>1836</v>
      </c>
      <c r="R173">
        <v>1507</v>
      </c>
      <c r="S173">
        <v>1228</v>
      </c>
      <c r="T173">
        <v>1198</v>
      </c>
      <c r="U173">
        <v>942</v>
      </c>
      <c r="V173">
        <v>903</v>
      </c>
      <c r="W173">
        <v>707</v>
      </c>
      <c r="X173">
        <v>700</v>
      </c>
      <c r="Y173">
        <v>668</v>
      </c>
      <c r="Z173">
        <v>553</v>
      </c>
      <c r="AA173">
        <v>549</v>
      </c>
      <c r="AB173">
        <v>543</v>
      </c>
      <c r="AC173">
        <v>519</v>
      </c>
      <c r="AD173">
        <v>422</v>
      </c>
      <c r="AE173">
        <v>411</v>
      </c>
      <c r="AF173">
        <v>366</v>
      </c>
      <c r="AG173">
        <v>365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1074589</v>
      </c>
    </row>
    <row r="174" spans="1:50" x14ac:dyDescent="0.2">
      <c r="A174" t="s">
        <v>10</v>
      </c>
      <c r="C174">
        <v>172</v>
      </c>
      <c r="D174">
        <v>24</v>
      </c>
      <c r="E174" t="s">
        <v>258</v>
      </c>
      <c r="F174">
        <v>2014</v>
      </c>
      <c r="G174">
        <v>633816</v>
      </c>
      <c r="H174">
        <v>405241</v>
      </c>
      <c r="I174">
        <v>25677</v>
      </c>
      <c r="J174">
        <v>21403</v>
      </c>
      <c r="K174">
        <v>7414</v>
      </c>
      <c r="L174">
        <v>4247</v>
      </c>
      <c r="M174">
        <v>2747</v>
      </c>
      <c r="N174">
        <v>2325</v>
      </c>
      <c r="O174">
        <v>2061</v>
      </c>
      <c r="P174">
        <v>929</v>
      </c>
      <c r="Q174">
        <v>918</v>
      </c>
      <c r="R174">
        <v>781</v>
      </c>
      <c r="S174">
        <v>736</v>
      </c>
      <c r="T174">
        <v>672</v>
      </c>
      <c r="U174">
        <v>604</v>
      </c>
      <c r="V174">
        <v>586</v>
      </c>
      <c r="W174">
        <v>581</v>
      </c>
      <c r="X174">
        <v>549</v>
      </c>
      <c r="Y174">
        <v>502</v>
      </c>
      <c r="Z174">
        <v>484</v>
      </c>
      <c r="AA174">
        <v>428</v>
      </c>
      <c r="AB174">
        <v>414</v>
      </c>
      <c r="AC174">
        <v>365</v>
      </c>
      <c r="AD174">
        <v>246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1113726</v>
      </c>
    </row>
    <row r="175" spans="1:50" x14ac:dyDescent="0.2">
      <c r="A175" t="s">
        <v>10</v>
      </c>
      <c r="C175">
        <v>173</v>
      </c>
      <c r="D175">
        <v>20</v>
      </c>
      <c r="E175" t="s">
        <v>259</v>
      </c>
      <c r="F175">
        <v>2014</v>
      </c>
      <c r="G175">
        <v>424800</v>
      </c>
      <c r="H175">
        <v>415280</v>
      </c>
      <c r="I175">
        <v>346339</v>
      </c>
      <c r="J175">
        <v>26071</v>
      </c>
      <c r="K175">
        <v>7682</v>
      </c>
      <c r="L175">
        <v>7127</v>
      </c>
      <c r="M175">
        <v>6827</v>
      </c>
      <c r="N175">
        <v>6279</v>
      </c>
      <c r="O175">
        <v>4689</v>
      </c>
      <c r="P175">
        <v>3895</v>
      </c>
      <c r="Q175">
        <v>3410</v>
      </c>
      <c r="R175">
        <v>1897</v>
      </c>
      <c r="S175">
        <v>1586</v>
      </c>
      <c r="T175">
        <v>1465</v>
      </c>
      <c r="U175">
        <v>1404</v>
      </c>
      <c r="V175">
        <v>1215</v>
      </c>
      <c r="W175">
        <v>931</v>
      </c>
      <c r="X175">
        <v>892</v>
      </c>
      <c r="Y175">
        <v>799</v>
      </c>
      <c r="Z175">
        <v>686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1263274</v>
      </c>
    </row>
    <row r="176" spans="1:50" x14ac:dyDescent="0.2">
      <c r="A176" t="s">
        <v>10</v>
      </c>
      <c r="C176">
        <v>174</v>
      </c>
      <c r="D176">
        <v>23</v>
      </c>
      <c r="E176" t="s">
        <v>260</v>
      </c>
      <c r="F176">
        <v>2014</v>
      </c>
      <c r="G176">
        <v>418926</v>
      </c>
      <c r="H176">
        <v>371076</v>
      </c>
      <c r="I176">
        <v>267322</v>
      </c>
      <c r="J176">
        <v>17563</v>
      </c>
      <c r="K176">
        <v>6713</v>
      </c>
      <c r="L176">
        <v>6236</v>
      </c>
      <c r="M176">
        <v>5097</v>
      </c>
      <c r="N176">
        <v>4934</v>
      </c>
      <c r="O176">
        <v>4803</v>
      </c>
      <c r="P176">
        <v>3601</v>
      </c>
      <c r="Q176">
        <v>2907</v>
      </c>
      <c r="R176">
        <v>2663</v>
      </c>
      <c r="S176">
        <v>2074</v>
      </c>
      <c r="T176">
        <v>1759</v>
      </c>
      <c r="U176">
        <v>1583</v>
      </c>
      <c r="V176">
        <v>1517</v>
      </c>
      <c r="W176">
        <v>1424</v>
      </c>
      <c r="X176">
        <v>1398</v>
      </c>
      <c r="Y176">
        <v>1291</v>
      </c>
      <c r="Z176">
        <v>1275</v>
      </c>
      <c r="AA176">
        <v>1144</v>
      </c>
      <c r="AB176">
        <v>1089</v>
      </c>
      <c r="AC176">
        <v>920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1127315</v>
      </c>
    </row>
    <row r="177" spans="1:50" x14ac:dyDescent="0.2">
      <c r="A177" t="s">
        <v>11</v>
      </c>
      <c r="C177">
        <v>175</v>
      </c>
      <c r="D177">
        <v>15</v>
      </c>
      <c r="E177" t="s">
        <v>261</v>
      </c>
      <c r="F177">
        <v>2014</v>
      </c>
      <c r="G177">
        <v>378043</v>
      </c>
      <c r="H177">
        <v>172826</v>
      </c>
      <c r="I177">
        <v>9713</v>
      </c>
      <c r="J177">
        <v>6103</v>
      </c>
      <c r="K177">
        <v>4996</v>
      </c>
      <c r="L177">
        <v>4194</v>
      </c>
      <c r="M177">
        <v>3104</v>
      </c>
      <c r="N177">
        <v>3057</v>
      </c>
      <c r="O177">
        <v>2655</v>
      </c>
      <c r="P177">
        <v>1222</v>
      </c>
      <c r="Q177">
        <v>1002</v>
      </c>
      <c r="R177">
        <v>880</v>
      </c>
      <c r="S177">
        <v>824</v>
      </c>
      <c r="T177">
        <v>755</v>
      </c>
      <c r="U177">
        <v>632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590006</v>
      </c>
    </row>
    <row r="178" spans="1:50" x14ac:dyDescent="0.2">
      <c r="A178" t="s">
        <v>11</v>
      </c>
      <c r="C178">
        <v>176</v>
      </c>
      <c r="D178">
        <v>12</v>
      </c>
      <c r="E178" t="s">
        <v>262</v>
      </c>
      <c r="F178">
        <v>2014</v>
      </c>
      <c r="G178">
        <v>427622</v>
      </c>
      <c r="H178">
        <v>421056</v>
      </c>
      <c r="I178">
        <v>51636</v>
      </c>
      <c r="J178">
        <v>19170</v>
      </c>
      <c r="K178">
        <v>7026</v>
      </c>
      <c r="L178">
        <v>6106</v>
      </c>
      <c r="M178">
        <v>4240</v>
      </c>
      <c r="N178">
        <v>2745</v>
      </c>
      <c r="O178">
        <v>2371</v>
      </c>
      <c r="P178">
        <v>2109</v>
      </c>
      <c r="Q178">
        <v>1536</v>
      </c>
      <c r="R178">
        <v>1500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947117</v>
      </c>
    </row>
    <row r="179" spans="1:50" x14ac:dyDescent="0.2">
      <c r="A179" t="s">
        <v>11</v>
      </c>
      <c r="C179">
        <v>177</v>
      </c>
      <c r="D179">
        <v>12</v>
      </c>
      <c r="E179" t="s">
        <v>263</v>
      </c>
      <c r="F179">
        <v>2014</v>
      </c>
      <c r="G179">
        <v>416479</v>
      </c>
      <c r="H179">
        <v>413173</v>
      </c>
      <c r="I179">
        <v>76313</v>
      </c>
      <c r="J179">
        <v>17229</v>
      </c>
      <c r="K179">
        <v>15058</v>
      </c>
      <c r="L179">
        <v>6245</v>
      </c>
      <c r="M179">
        <v>6107</v>
      </c>
      <c r="N179">
        <v>3485</v>
      </c>
      <c r="O179">
        <v>2150</v>
      </c>
      <c r="P179">
        <v>1679</v>
      </c>
      <c r="Q179">
        <v>731</v>
      </c>
      <c r="R179">
        <v>693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959342</v>
      </c>
    </row>
    <row r="180" spans="1:50" x14ac:dyDescent="0.2">
      <c r="A180" t="s">
        <v>11</v>
      </c>
      <c r="C180">
        <v>178</v>
      </c>
      <c r="D180">
        <v>16</v>
      </c>
      <c r="E180" t="s">
        <v>264</v>
      </c>
      <c r="F180">
        <v>2014</v>
      </c>
      <c r="G180">
        <v>377035</v>
      </c>
      <c r="H180">
        <v>356165</v>
      </c>
      <c r="I180">
        <v>80752</v>
      </c>
      <c r="J180">
        <v>37123</v>
      </c>
      <c r="K180">
        <v>14327</v>
      </c>
      <c r="L180">
        <v>12645</v>
      </c>
      <c r="M180">
        <v>10729</v>
      </c>
      <c r="N180">
        <v>10684</v>
      </c>
      <c r="O180">
        <v>5476</v>
      </c>
      <c r="P180">
        <v>2855</v>
      </c>
      <c r="Q180">
        <v>1517</v>
      </c>
      <c r="R180">
        <v>1317</v>
      </c>
      <c r="S180">
        <v>1308</v>
      </c>
      <c r="T180">
        <v>1222</v>
      </c>
      <c r="U180">
        <v>1103</v>
      </c>
      <c r="V180">
        <v>741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914999</v>
      </c>
    </row>
    <row r="181" spans="1:50" x14ac:dyDescent="0.2">
      <c r="A181" t="s">
        <v>11</v>
      </c>
      <c r="C181">
        <v>179</v>
      </c>
      <c r="D181">
        <v>14</v>
      </c>
      <c r="E181" t="s">
        <v>265</v>
      </c>
      <c r="F181">
        <v>2014</v>
      </c>
      <c r="G181">
        <v>397615</v>
      </c>
      <c r="H181">
        <v>380732</v>
      </c>
      <c r="I181">
        <v>115760</v>
      </c>
      <c r="J181">
        <v>13934</v>
      </c>
      <c r="K181">
        <v>10596</v>
      </c>
      <c r="L181">
        <v>6993</v>
      </c>
      <c r="M181">
        <v>6381</v>
      </c>
      <c r="N181">
        <v>2665</v>
      </c>
      <c r="O181">
        <v>2331</v>
      </c>
      <c r="P181">
        <v>1991</v>
      </c>
      <c r="Q181">
        <v>1909</v>
      </c>
      <c r="R181">
        <v>964</v>
      </c>
      <c r="S181">
        <v>665</v>
      </c>
      <c r="T181">
        <v>473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943009</v>
      </c>
    </row>
    <row r="182" spans="1:50" x14ac:dyDescent="0.2">
      <c r="A182" t="s">
        <v>11</v>
      </c>
      <c r="C182">
        <v>180</v>
      </c>
      <c r="D182">
        <v>11</v>
      </c>
      <c r="E182" t="s">
        <v>266</v>
      </c>
      <c r="F182">
        <v>2014</v>
      </c>
      <c r="G182">
        <v>437723</v>
      </c>
      <c r="H182">
        <v>242984</v>
      </c>
      <c r="I182">
        <v>64705</v>
      </c>
      <c r="J182">
        <v>47853</v>
      </c>
      <c r="K182">
        <v>29216</v>
      </c>
      <c r="L182">
        <v>21829</v>
      </c>
      <c r="M182">
        <v>2745</v>
      </c>
      <c r="N182">
        <v>2491</v>
      </c>
      <c r="O182">
        <v>1376</v>
      </c>
      <c r="P182">
        <v>1330</v>
      </c>
      <c r="Q182">
        <v>1215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853467</v>
      </c>
    </row>
    <row r="183" spans="1:50" x14ac:dyDescent="0.2">
      <c r="A183" t="s">
        <v>11</v>
      </c>
      <c r="C183">
        <v>181</v>
      </c>
      <c r="D183">
        <v>12</v>
      </c>
      <c r="E183" t="s">
        <v>267</v>
      </c>
      <c r="F183">
        <v>2014</v>
      </c>
      <c r="G183">
        <v>378503</v>
      </c>
      <c r="H183">
        <v>353093</v>
      </c>
      <c r="I183">
        <v>75212</v>
      </c>
      <c r="J183">
        <v>26640</v>
      </c>
      <c r="K183">
        <v>11034</v>
      </c>
      <c r="L183">
        <v>9504</v>
      </c>
      <c r="M183">
        <v>7494</v>
      </c>
      <c r="N183">
        <v>2434</v>
      </c>
      <c r="O183">
        <v>2261</v>
      </c>
      <c r="P183">
        <v>2153</v>
      </c>
      <c r="Q183">
        <v>2044</v>
      </c>
      <c r="R183">
        <v>1220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871592</v>
      </c>
    </row>
    <row r="184" spans="1:50" x14ac:dyDescent="0.2">
      <c r="A184" t="s">
        <v>11</v>
      </c>
      <c r="C184">
        <v>182</v>
      </c>
      <c r="D184">
        <v>16</v>
      </c>
      <c r="E184" t="s">
        <v>268</v>
      </c>
      <c r="F184">
        <v>2014</v>
      </c>
      <c r="G184">
        <v>412897</v>
      </c>
      <c r="H184">
        <v>307597</v>
      </c>
      <c r="I184">
        <v>136587</v>
      </c>
      <c r="J184">
        <v>12504</v>
      </c>
      <c r="K184">
        <v>11291</v>
      </c>
      <c r="L184">
        <v>8667</v>
      </c>
      <c r="M184">
        <v>4933</v>
      </c>
      <c r="N184">
        <v>3946</v>
      </c>
      <c r="O184">
        <v>2654</v>
      </c>
      <c r="P184">
        <v>1963</v>
      </c>
      <c r="Q184">
        <v>1946</v>
      </c>
      <c r="R184">
        <v>1416</v>
      </c>
      <c r="S184">
        <v>1231</v>
      </c>
      <c r="T184">
        <v>1092</v>
      </c>
      <c r="U184">
        <v>828</v>
      </c>
      <c r="V184">
        <v>770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910322</v>
      </c>
    </row>
    <row r="185" spans="1:50" x14ac:dyDescent="0.2">
      <c r="A185" t="s">
        <v>11</v>
      </c>
      <c r="C185">
        <v>183</v>
      </c>
      <c r="D185">
        <v>13</v>
      </c>
      <c r="E185" t="s">
        <v>269</v>
      </c>
      <c r="F185">
        <v>2014</v>
      </c>
      <c r="G185">
        <v>411808</v>
      </c>
      <c r="H185">
        <v>374496</v>
      </c>
      <c r="I185">
        <v>87803</v>
      </c>
      <c r="J185">
        <v>21417</v>
      </c>
      <c r="K185">
        <v>7820</v>
      </c>
      <c r="L185">
        <v>5260</v>
      </c>
      <c r="M185">
        <v>4436</v>
      </c>
      <c r="N185">
        <v>4392</v>
      </c>
      <c r="O185">
        <v>2911</v>
      </c>
      <c r="P185">
        <v>2159</v>
      </c>
      <c r="Q185">
        <v>2102</v>
      </c>
      <c r="R185">
        <v>1692</v>
      </c>
      <c r="S185">
        <v>932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927228</v>
      </c>
    </row>
    <row r="186" spans="1:50" x14ac:dyDescent="0.2">
      <c r="A186" t="s">
        <v>11</v>
      </c>
      <c r="C186">
        <v>184</v>
      </c>
      <c r="D186">
        <v>15</v>
      </c>
      <c r="E186" t="s">
        <v>270</v>
      </c>
      <c r="F186">
        <v>2014</v>
      </c>
      <c r="G186">
        <v>389209</v>
      </c>
      <c r="H186">
        <v>350982</v>
      </c>
      <c r="I186">
        <v>102681</v>
      </c>
      <c r="J186">
        <v>44638</v>
      </c>
      <c r="K186">
        <v>10050</v>
      </c>
      <c r="L186">
        <v>6894</v>
      </c>
      <c r="M186">
        <v>6044</v>
      </c>
      <c r="N186">
        <v>3959</v>
      </c>
      <c r="O186">
        <v>2110</v>
      </c>
      <c r="P186">
        <v>949</v>
      </c>
      <c r="Q186">
        <v>718</v>
      </c>
      <c r="R186">
        <v>659</v>
      </c>
      <c r="S186">
        <v>616</v>
      </c>
      <c r="T186">
        <v>546</v>
      </c>
      <c r="U186">
        <v>450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920505</v>
      </c>
    </row>
    <row r="187" spans="1:50" x14ac:dyDescent="0.2">
      <c r="A187" t="s">
        <v>11</v>
      </c>
      <c r="C187">
        <v>185</v>
      </c>
      <c r="D187">
        <v>16</v>
      </c>
      <c r="E187" t="s">
        <v>271</v>
      </c>
      <c r="F187">
        <v>2014</v>
      </c>
      <c r="G187">
        <v>358440</v>
      </c>
      <c r="H187">
        <v>344556</v>
      </c>
      <c r="I187">
        <v>92848</v>
      </c>
      <c r="J187">
        <v>35189</v>
      </c>
      <c r="K187">
        <v>14386</v>
      </c>
      <c r="L187">
        <v>12942</v>
      </c>
      <c r="M187">
        <v>10552</v>
      </c>
      <c r="N187">
        <v>4596</v>
      </c>
      <c r="O187">
        <v>2052</v>
      </c>
      <c r="P187">
        <v>1942</v>
      </c>
      <c r="Q187">
        <v>1376</v>
      </c>
      <c r="R187">
        <v>1346</v>
      </c>
      <c r="S187">
        <v>1114</v>
      </c>
      <c r="T187">
        <v>932</v>
      </c>
      <c r="U187">
        <v>900</v>
      </c>
      <c r="V187">
        <v>862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884033</v>
      </c>
    </row>
    <row r="188" spans="1:50" x14ac:dyDescent="0.2">
      <c r="A188" t="s">
        <v>11</v>
      </c>
      <c r="C188">
        <v>186</v>
      </c>
      <c r="D188">
        <v>17</v>
      </c>
      <c r="E188" t="s">
        <v>272</v>
      </c>
      <c r="F188">
        <v>2014</v>
      </c>
      <c r="G188">
        <v>353841</v>
      </c>
      <c r="H188">
        <v>266794</v>
      </c>
      <c r="I188">
        <v>99003</v>
      </c>
      <c r="J188">
        <v>51517</v>
      </c>
      <c r="K188">
        <v>22733</v>
      </c>
      <c r="L188">
        <v>14825</v>
      </c>
      <c r="M188">
        <v>9735</v>
      </c>
      <c r="N188">
        <v>8246</v>
      </c>
      <c r="O188">
        <v>6156</v>
      </c>
      <c r="P188">
        <v>5011</v>
      </c>
      <c r="Q188">
        <v>2685</v>
      </c>
      <c r="R188">
        <v>2630</v>
      </c>
      <c r="S188">
        <v>2344</v>
      </c>
      <c r="T188">
        <v>2104</v>
      </c>
      <c r="U188">
        <v>1180</v>
      </c>
      <c r="V188">
        <v>1080</v>
      </c>
      <c r="W188">
        <v>950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850834</v>
      </c>
    </row>
    <row r="189" spans="1:50" x14ac:dyDescent="0.2">
      <c r="A189" t="s">
        <v>11</v>
      </c>
      <c r="C189">
        <v>187</v>
      </c>
      <c r="D189">
        <v>17</v>
      </c>
      <c r="E189" t="s">
        <v>273</v>
      </c>
      <c r="F189">
        <v>2014</v>
      </c>
      <c r="G189">
        <v>382019</v>
      </c>
      <c r="H189">
        <v>331477</v>
      </c>
      <c r="I189">
        <v>50438</v>
      </c>
      <c r="J189">
        <v>12338</v>
      </c>
      <c r="K189">
        <v>11215</v>
      </c>
      <c r="L189">
        <v>10401</v>
      </c>
      <c r="M189">
        <v>6024</v>
      </c>
      <c r="N189">
        <v>3971</v>
      </c>
      <c r="O189">
        <v>3057</v>
      </c>
      <c r="P189">
        <v>2477</v>
      </c>
      <c r="Q189">
        <v>1925</v>
      </c>
      <c r="R189">
        <v>1179</v>
      </c>
      <c r="S189">
        <v>1158</v>
      </c>
      <c r="T189">
        <v>629</v>
      </c>
      <c r="U189">
        <v>550</v>
      </c>
      <c r="V189">
        <v>493</v>
      </c>
      <c r="W189">
        <v>415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819766</v>
      </c>
    </row>
    <row r="190" spans="1:50" x14ac:dyDescent="0.2">
      <c r="A190" t="s">
        <v>11</v>
      </c>
      <c r="C190">
        <v>188</v>
      </c>
      <c r="D190">
        <v>12</v>
      </c>
      <c r="E190" t="s">
        <v>274</v>
      </c>
      <c r="F190">
        <v>2014</v>
      </c>
      <c r="G190">
        <v>424194</v>
      </c>
      <c r="H190">
        <v>303595</v>
      </c>
      <c r="I190">
        <v>44357</v>
      </c>
      <c r="J190">
        <v>26381</v>
      </c>
      <c r="K190">
        <v>14024</v>
      </c>
      <c r="L190">
        <v>6732</v>
      </c>
      <c r="M190">
        <v>3513</v>
      </c>
      <c r="N190">
        <v>2879</v>
      </c>
      <c r="O190">
        <v>2157</v>
      </c>
      <c r="P190">
        <v>1831</v>
      </c>
      <c r="Q190">
        <v>1048</v>
      </c>
      <c r="R190">
        <v>925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831636</v>
      </c>
    </row>
    <row r="191" spans="1:50" x14ac:dyDescent="0.2">
      <c r="A191" t="s">
        <v>11</v>
      </c>
      <c r="C191">
        <v>189</v>
      </c>
      <c r="D191">
        <v>14</v>
      </c>
      <c r="E191" t="s">
        <v>275</v>
      </c>
      <c r="F191">
        <v>2014</v>
      </c>
      <c r="G191">
        <v>462525</v>
      </c>
      <c r="H191">
        <v>443118</v>
      </c>
      <c r="I191">
        <v>43051</v>
      </c>
      <c r="J191">
        <v>11338</v>
      </c>
      <c r="K191">
        <v>10993</v>
      </c>
      <c r="L191">
        <v>9414</v>
      </c>
      <c r="M191">
        <v>5921</v>
      </c>
      <c r="N191">
        <v>3385</v>
      </c>
      <c r="O191">
        <v>3149</v>
      </c>
      <c r="P191">
        <v>1615</v>
      </c>
      <c r="Q191">
        <v>1363</v>
      </c>
      <c r="R191">
        <v>709</v>
      </c>
      <c r="S191">
        <v>481</v>
      </c>
      <c r="T191">
        <v>402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997464</v>
      </c>
    </row>
    <row r="192" spans="1:50" x14ac:dyDescent="0.2">
      <c r="A192" t="s">
        <v>11</v>
      </c>
      <c r="C192">
        <v>190</v>
      </c>
      <c r="D192">
        <v>10</v>
      </c>
      <c r="E192" t="s">
        <v>276</v>
      </c>
      <c r="F192">
        <v>2014</v>
      </c>
      <c r="G192">
        <v>402432</v>
      </c>
      <c r="H192">
        <v>369695</v>
      </c>
      <c r="I192">
        <v>79743</v>
      </c>
      <c r="J192">
        <v>9459</v>
      </c>
      <c r="K192">
        <v>8946</v>
      </c>
      <c r="L192">
        <v>7753</v>
      </c>
      <c r="M192">
        <v>4736</v>
      </c>
      <c r="N192">
        <v>3603</v>
      </c>
      <c r="O192">
        <v>1486</v>
      </c>
      <c r="P192">
        <v>1207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889060</v>
      </c>
    </row>
    <row r="193" spans="1:50" x14ac:dyDescent="0.2">
      <c r="A193" t="s">
        <v>11</v>
      </c>
      <c r="C193">
        <v>191</v>
      </c>
      <c r="D193">
        <v>17</v>
      </c>
      <c r="E193" t="s">
        <v>277</v>
      </c>
      <c r="F193">
        <v>2014</v>
      </c>
      <c r="G193">
        <v>358842</v>
      </c>
      <c r="H193">
        <v>302651</v>
      </c>
      <c r="I193">
        <v>138954</v>
      </c>
      <c r="J193">
        <v>16538</v>
      </c>
      <c r="K193">
        <v>16493</v>
      </c>
      <c r="L193">
        <v>11353</v>
      </c>
      <c r="M193">
        <v>10384</v>
      </c>
      <c r="N193">
        <v>4847</v>
      </c>
      <c r="O193">
        <v>2901</v>
      </c>
      <c r="P193">
        <v>1236</v>
      </c>
      <c r="Q193">
        <v>1021</v>
      </c>
      <c r="R193">
        <v>1005</v>
      </c>
      <c r="S193">
        <v>953</v>
      </c>
      <c r="T193">
        <v>748</v>
      </c>
      <c r="U193">
        <v>682</v>
      </c>
      <c r="V193">
        <v>460</v>
      </c>
      <c r="W193">
        <v>384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869452</v>
      </c>
    </row>
    <row r="194" spans="1:50" x14ac:dyDescent="0.2">
      <c r="A194" t="s">
        <v>11</v>
      </c>
      <c r="C194">
        <v>192</v>
      </c>
      <c r="D194">
        <v>12</v>
      </c>
      <c r="E194" t="s">
        <v>278</v>
      </c>
      <c r="F194">
        <v>2014</v>
      </c>
      <c r="G194">
        <v>408528</v>
      </c>
      <c r="H194">
        <v>370879</v>
      </c>
      <c r="I194">
        <v>58671</v>
      </c>
      <c r="J194">
        <v>12812</v>
      </c>
      <c r="K194">
        <v>7876</v>
      </c>
      <c r="L194">
        <v>4266</v>
      </c>
      <c r="M194">
        <v>3364</v>
      </c>
      <c r="N194">
        <v>3333</v>
      </c>
      <c r="O194">
        <v>3108</v>
      </c>
      <c r="P194">
        <v>2808</v>
      </c>
      <c r="Q194">
        <v>1709</v>
      </c>
      <c r="R194">
        <v>1702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879056</v>
      </c>
    </row>
    <row r="195" spans="1:50" x14ac:dyDescent="0.2">
      <c r="A195" t="s">
        <v>11</v>
      </c>
      <c r="C195">
        <v>193</v>
      </c>
      <c r="D195">
        <v>17</v>
      </c>
      <c r="E195" t="s">
        <v>279</v>
      </c>
      <c r="F195">
        <v>2014</v>
      </c>
      <c r="G195">
        <v>392478</v>
      </c>
      <c r="H195">
        <v>323100</v>
      </c>
      <c r="I195">
        <v>90528</v>
      </c>
      <c r="J195">
        <v>11225</v>
      </c>
      <c r="K195">
        <v>8586</v>
      </c>
      <c r="L195">
        <v>6924</v>
      </c>
      <c r="M195">
        <v>5511</v>
      </c>
      <c r="N195">
        <v>4862</v>
      </c>
      <c r="O195">
        <v>4064</v>
      </c>
      <c r="P195">
        <v>3850</v>
      </c>
      <c r="Q195">
        <v>2375</v>
      </c>
      <c r="R195">
        <v>2221</v>
      </c>
      <c r="S195">
        <v>1052</v>
      </c>
      <c r="T195">
        <v>736</v>
      </c>
      <c r="U195">
        <v>647</v>
      </c>
      <c r="V195">
        <v>615</v>
      </c>
      <c r="W195">
        <v>576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859350</v>
      </c>
    </row>
    <row r="196" spans="1:50" x14ac:dyDescent="0.2">
      <c r="A196" t="s">
        <v>11</v>
      </c>
      <c r="C196">
        <v>194</v>
      </c>
      <c r="D196">
        <v>21</v>
      </c>
      <c r="E196" t="s">
        <v>280</v>
      </c>
      <c r="F196">
        <v>2014</v>
      </c>
      <c r="G196">
        <v>297806</v>
      </c>
      <c r="H196">
        <v>282336</v>
      </c>
      <c r="I196">
        <v>248941</v>
      </c>
      <c r="J196">
        <v>14153</v>
      </c>
      <c r="K196">
        <v>4820</v>
      </c>
      <c r="L196">
        <v>4229</v>
      </c>
      <c r="M196">
        <v>3346</v>
      </c>
      <c r="N196">
        <v>3260</v>
      </c>
      <c r="O196">
        <v>2448</v>
      </c>
      <c r="P196">
        <v>2103</v>
      </c>
      <c r="Q196">
        <v>1851</v>
      </c>
      <c r="R196">
        <v>1716</v>
      </c>
      <c r="S196">
        <v>1689</v>
      </c>
      <c r="T196">
        <v>1271</v>
      </c>
      <c r="U196">
        <v>902</v>
      </c>
      <c r="V196">
        <v>843</v>
      </c>
      <c r="W196">
        <v>447</v>
      </c>
      <c r="X196">
        <v>371</v>
      </c>
      <c r="Y196">
        <v>356</v>
      </c>
      <c r="Z196">
        <v>292</v>
      </c>
      <c r="AA196">
        <v>261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873441</v>
      </c>
    </row>
    <row r="197" spans="1:50" x14ac:dyDescent="0.2">
      <c r="A197" t="s">
        <v>12</v>
      </c>
      <c r="C197">
        <v>195</v>
      </c>
      <c r="D197">
        <v>18</v>
      </c>
      <c r="E197" t="s">
        <v>281</v>
      </c>
      <c r="F197">
        <v>2014</v>
      </c>
      <c r="G197">
        <v>375567</v>
      </c>
      <c r="H197">
        <v>242586</v>
      </c>
      <c r="I197">
        <v>184253</v>
      </c>
      <c r="J197">
        <v>13806</v>
      </c>
      <c r="K197">
        <v>6471</v>
      </c>
      <c r="L197">
        <v>5554</v>
      </c>
      <c r="M197">
        <v>4792</v>
      </c>
      <c r="N197">
        <v>4347</v>
      </c>
      <c r="O197">
        <v>3546</v>
      </c>
      <c r="P197">
        <v>3006</v>
      </c>
      <c r="Q197">
        <v>2114</v>
      </c>
      <c r="R197">
        <v>1969</v>
      </c>
      <c r="S197">
        <v>1429</v>
      </c>
      <c r="T197">
        <v>1145</v>
      </c>
      <c r="U197">
        <v>1058</v>
      </c>
      <c r="V197">
        <v>975</v>
      </c>
      <c r="W197">
        <v>852</v>
      </c>
      <c r="X197">
        <v>809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854279</v>
      </c>
    </row>
    <row r="198" spans="1:50" x14ac:dyDescent="0.2">
      <c r="A198" t="s">
        <v>12</v>
      </c>
      <c r="C198">
        <v>196</v>
      </c>
      <c r="D198">
        <v>10</v>
      </c>
      <c r="E198" t="s">
        <v>282</v>
      </c>
      <c r="F198">
        <v>2014</v>
      </c>
      <c r="G198">
        <v>404474</v>
      </c>
      <c r="H198">
        <v>244513</v>
      </c>
      <c r="I198">
        <v>33803</v>
      </c>
      <c r="J198">
        <v>20403</v>
      </c>
      <c r="K198">
        <v>7730</v>
      </c>
      <c r="L198">
        <v>5572</v>
      </c>
      <c r="M198">
        <v>5198</v>
      </c>
      <c r="N198">
        <v>2899</v>
      </c>
      <c r="O198">
        <v>2699</v>
      </c>
      <c r="P198">
        <v>1793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729084</v>
      </c>
    </row>
    <row r="199" spans="1:50" x14ac:dyDescent="0.2">
      <c r="A199" t="s">
        <v>12</v>
      </c>
      <c r="C199">
        <v>197</v>
      </c>
      <c r="D199">
        <v>22</v>
      </c>
      <c r="E199" t="s">
        <v>283</v>
      </c>
      <c r="F199">
        <v>2014</v>
      </c>
      <c r="G199">
        <v>442796</v>
      </c>
      <c r="H199">
        <v>413097</v>
      </c>
      <c r="I199">
        <v>68196</v>
      </c>
      <c r="J199">
        <v>11510</v>
      </c>
      <c r="K199">
        <v>10297</v>
      </c>
      <c r="L199">
        <v>5327</v>
      </c>
      <c r="M199">
        <v>4969</v>
      </c>
      <c r="N199">
        <v>4719</v>
      </c>
      <c r="O199">
        <v>4219</v>
      </c>
      <c r="P199">
        <v>3963</v>
      </c>
      <c r="Q199">
        <v>2659</v>
      </c>
      <c r="R199">
        <v>2244</v>
      </c>
      <c r="S199">
        <v>2122</v>
      </c>
      <c r="T199">
        <v>2101</v>
      </c>
      <c r="U199">
        <v>2054</v>
      </c>
      <c r="V199">
        <v>1981</v>
      </c>
      <c r="W199">
        <v>1687</v>
      </c>
      <c r="X199">
        <v>1607</v>
      </c>
      <c r="Y199">
        <v>1477</v>
      </c>
      <c r="Z199">
        <v>1412</v>
      </c>
      <c r="AA199">
        <v>1408</v>
      </c>
      <c r="AB199">
        <v>1067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990912</v>
      </c>
    </row>
    <row r="200" spans="1:50" x14ac:dyDescent="0.2">
      <c r="A200" t="s">
        <v>12</v>
      </c>
      <c r="C200">
        <v>198</v>
      </c>
      <c r="D200">
        <v>12</v>
      </c>
      <c r="E200" t="s">
        <v>284</v>
      </c>
      <c r="F200">
        <v>2014</v>
      </c>
      <c r="G200">
        <v>517036</v>
      </c>
      <c r="H200">
        <v>396244</v>
      </c>
      <c r="I200">
        <v>27412</v>
      </c>
      <c r="J200">
        <v>12481</v>
      </c>
      <c r="K200">
        <v>5575</v>
      </c>
      <c r="L200">
        <v>4073</v>
      </c>
      <c r="M200">
        <v>3294</v>
      </c>
      <c r="N200">
        <v>2845</v>
      </c>
      <c r="O200">
        <v>2197</v>
      </c>
      <c r="P200">
        <v>2079</v>
      </c>
      <c r="Q200">
        <v>2072</v>
      </c>
      <c r="R200">
        <v>1321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976629</v>
      </c>
    </row>
    <row r="201" spans="1:50" x14ac:dyDescent="0.2">
      <c r="A201" t="s">
        <v>12</v>
      </c>
      <c r="C201">
        <v>199</v>
      </c>
      <c r="D201">
        <v>11</v>
      </c>
      <c r="E201" t="s">
        <v>285</v>
      </c>
      <c r="F201">
        <v>2014</v>
      </c>
      <c r="G201">
        <v>482580</v>
      </c>
      <c r="H201">
        <v>361843</v>
      </c>
      <c r="I201">
        <v>19917</v>
      </c>
      <c r="J201">
        <v>9504</v>
      </c>
      <c r="K201">
        <v>6328</v>
      </c>
      <c r="L201">
        <v>3856</v>
      </c>
      <c r="M201">
        <v>2020</v>
      </c>
      <c r="N201">
        <v>1632</v>
      </c>
      <c r="O201">
        <v>1565</v>
      </c>
      <c r="P201">
        <v>1556</v>
      </c>
      <c r="Q201">
        <v>1128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891929</v>
      </c>
    </row>
    <row r="202" spans="1:50" x14ac:dyDescent="0.2">
      <c r="A202" t="s">
        <v>12</v>
      </c>
      <c r="C202">
        <v>200</v>
      </c>
      <c r="D202">
        <v>14</v>
      </c>
      <c r="E202" t="s">
        <v>286</v>
      </c>
      <c r="F202">
        <v>2014</v>
      </c>
      <c r="G202">
        <v>422979</v>
      </c>
      <c r="H202">
        <v>214248</v>
      </c>
      <c r="I202">
        <v>47497</v>
      </c>
      <c r="J202">
        <v>23975</v>
      </c>
      <c r="K202">
        <v>15194</v>
      </c>
      <c r="L202">
        <v>10055</v>
      </c>
      <c r="M202">
        <v>5219</v>
      </c>
      <c r="N202">
        <v>4992</v>
      </c>
      <c r="O202">
        <v>4548</v>
      </c>
      <c r="P202">
        <v>4400</v>
      </c>
      <c r="Q202">
        <v>4035</v>
      </c>
      <c r="R202">
        <v>3855</v>
      </c>
      <c r="S202">
        <v>3094</v>
      </c>
      <c r="T202">
        <v>2230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766321</v>
      </c>
    </row>
    <row r="203" spans="1:50" x14ac:dyDescent="0.2">
      <c r="A203" t="s">
        <v>12</v>
      </c>
      <c r="C203">
        <v>201</v>
      </c>
      <c r="D203">
        <v>11</v>
      </c>
      <c r="E203" t="s">
        <v>287</v>
      </c>
      <c r="F203">
        <v>2014</v>
      </c>
      <c r="G203">
        <v>513079</v>
      </c>
      <c r="H203">
        <v>299780</v>
      </c>
      <c r="I203">
        <v>31519</v>
      </c>
      <c r="J203">
        <v>16350</v>
      </c>
      <c r="K203">
        <v>12600</v>
      </c>
      <c r="L203">
        <v>11298</v>
      </c>
      <c r="M203">
        <v>9343</v>
      </c>
      <c r="N203">
        <v>9266</v>
      </c>
      <c r="O203">
        <v>3429</v>
      </c>
      <c r="P203">
        <v>2836</v>
      </c>
      <c r="Q203">
        <v>2580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912080</v>
      </c>
    </row>
    <row r="204" spans="1:50" x14ac:dyDescent="0.2">
      <c r="A204" t="s">
        <v>12</v>
      </c>
      <c r="C204">
        <v>202</v>
      </c>
      <c r="D204">
        <v>18</v>
      </c>
      <c r="E204" t="s">
        <v>288</v>
      </c>
      <c r="F204">
        <v>2014</v>
      </c>
      <c r="G204">
        <v>474966</v>
      </c>
      <c r="H204">
        <v>227476</v>
      </c>
      <c r="I204">
        <v>60368</v>
      </c>
      <c r="J204">
        <v>40069</v>
      </c>
      <c r="K204">
        <v>13826</v>
      </c>
      <c r="L204">
        <v>10997</v>
      </c>
      <c r="M204">
        <v>8930</v>
      </c>
      <c r="N204">
        <v>7878</v>
      </c>
      <c r="O204">
        <v>5906</v>
      </c>
      <c r="P204">
        <v>4084</v>
      </c>
      <c r="Q204">
        <v>3505</v>
      </c>
      <c r="R204">
        <v>3187</v>
      </c>
      <c r="S204">
        <v>3012</v>
      </c>
      <c r="T204">
        <v>2625</v>
      </c>
      <c r="U204">
        <v>2549</v>
      </c>
      <c r="V204">
        <v>1936</v>
      </c>
      <c r="W204">
        <v>1679</v>
      </c>
      <c r="X204">
        <v>1484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874477</v>
      </c>
    </row>
    <row r="205" spans="1:50" x14ac:dyDescent="0.2">
      <c r="A205" t="s">
        <v>12</v>
      </c>
      <c r="C205">
        <v>203</v>
      </c>
      <c r="D205">
        <v>15</v>
      </c>
      <c r="E205" t="s">
        <v>289</v>
      </c>
      <c r="F205">
        <v>2014</v>
      </c>
      <c r="G205">
        <v>375288</v>
      </c>
      <c r="H205">
        <v>366600</v>
      </c>
      <c r="I205">
        <v>124602</v>
      </c>
      <c r="J205">
        <v>13036</v>
      </c>
      <c r="K205">
        <v>7986</v>
      </c>
      <c r="L205">
        <v>7925</v>
      </c>
      <c r="M205">
        <v>5305</v>
      </c>
      <c r="N205">
        <v>2253</v>
      </c>
      <c r="O205">
        <v>2155</v>
      </c>
      <c r="P205">
        <v>2021</v>
      </c>
      <c r="Q205">
        <v>1694</v>
      </c>
      <c r="R205">
        <v>1503</v>
      </c>
      <c r="S205">
        <v>1202</v>
      </c>
      <c r="T205">
        <v>950</v>
      </c>
      <c r="U205">
        <v>924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913444</v>
      </c>
    </row>
    <row r="206" spans="1:50" x14ac:dyDescent="0.2">
      <c r="A206" t="s">
        <v>12</v>
      </c>
      <c r="C206">
        <v>204</v>
      </c>
      <c r="D206">
        <v>15</v>
      </c>
      <c r="E206" t="s">
        <v>290</v>
      </c>
      <c r="F206">
        <v>2014</v>
      </c>
      <c r="G206">
        <v>383320</v>
      </c>
      <c r="H206">
        <v>214594</v>
      </c>
      <c r="I206">
        <v>175567</v>
      </c>
      <c r="J206">
        <v>10658</v>
      </c>
      <c r="K206">
        <v>7527</v>
      </c>
      <c r="L206">
        <v>5835</v>
      </c>
      <c r="M206">
        <v>5057</v>
      </c>
      <c r="N206">
        <v>4794</v>
      </c>
      <c r="O206">
        <v>4718</v>
      </c>
      <c r="P206">
        <v>4389</v>
      </c>
      <c r="Q206">
        <v>3608</v>
      </c>
      <c r="R206">
        <v>3260</v>
      </c>
      <c r="S206">
        <v>3164</v>
      </c>
      <c r="T206">
        <v>2055</v>
      </c>
      <c r="U206">
        <v>1456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830002</v>
      </c>
    </row>
    <row r="207" spans="1:50" x14ac:dyDescent="0.2">
      <c r="A207" t="s">
        <v>12</v>
      </c>
      <c r="C207">
        <v>205</v>
      </c>
      <c r="D207">
        <v>15</v>
      </c>
      <c r="E207" t="s">
        <v>291</v>
      </c>
      <c r="F207">
        <v>2014</v>
      </c>
      <c r="G207">
        <v>475678</v>
      </c>
      <c r="H207">
        <v>367632</v>
      </c>
      <c r="I207">
        <v>39387</v>
      </c>
      <c r="J207">
        <v>23298</v>
      </c>
      <c r="K207">
        <v>17350</v>
      </c>
      <c r="L207">
        <v>10725</v>
      </c>
      <c r="M207">
        <v>10037</v>
      </c>
      <c r="N207">
        <v>9691</v>
      </c>
      <c r="O207">
        <v>7579</v>
      </c>
      <c r="P207">
        <v>6627</v>
      </c>
      <c r="Q207">
        <v>5830</v>
      </c>
      <c r="R207">
        <v>5472</v>
      </c>
      <c r="S207">
        <v>4348</v>
      </c>
      <c r="T207">
        <v>3763</v>
      </c>
      <c r="U207">
        <v>1979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989396</v>
      </c>
    </row>
    <row r="208" spans="1:50" x14ac:dyDescent="0.2">
      <c r="A208" t="s">
        <v>12</v>
      </c>
      <c r="C208">
        <v>206</v>
      </c>
      <c r="D208">
        <v>15</v>
      </c>
      <c r="E208" t="s">
        <v>292</v>
      </c>
      <c r="F208">
        <v>2014</v>
      </c>
      <c r="G208">
        <v>525419</v>
      </c>
      <c r="H208">
        <v>284118</v>
      </c>
      <c r="I208">
        <v>27619</v>
      </c>
      <c r="J208">
        <v>21376</v>
      </c>
      <c r="K208">
        <v>20834</v>
      </c>
      <c r="L208">
        <v>20312</v>
      </c>
      <c r="M208">
        <v>19409</v>
      </c>
      <c r="N208">
        <v>8288</v>
      </c>
      <c r="O208">
        <v>7507</v>
      </c>
      <c r="P208">
        <v>7151</v>
      </c>
      <c r="Q208">
        <v>6647</v>
      </c>
      <c r="R208">
        <v>5580</v>
      </c>
      <c r="S208">
        <v>5320</v>
      </c>
      <c r="T208">
        <v>5089</v>
      </c>
      <c r="U208">
        <v>3849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968518</v>
      </c>
    </row>
    <row r="209" spans="1:50" x14ac:dyDescent="0.2">
      <c r="A209" t="s">
        <v>12</v>
      </c>
      <c r="C209">
        <v>207</v>
      </c>
      <c r="D209">
        <v>16</v>
      </c>
      <c r="E209" t="s">
        <v>293</v>
      </c>
      <c r="F209">
        <v>2014</v>
      </c>
      <c r="G209">
        <v>564609</v>
      </c>
      <c r="H209">
        <v>355970</v>
      </c>
      <c r="I209">
        <v>16008</v>
      </c>
      <c r="J209">
        <v>15977</v>
      </c>
      <c r="K209">
        <v>9053</v>
      </c>
      <c r="L209">
        <v>7888</v>
      </c>
      <c r="M209">
        <v>7164</v>
      </c>
      <c r="N209">
        <v>6400</v>
      </c>
      <c r="O209">
        <v>4261</v>
      </c>
      <c r="P209">
        <v>2990</v>
      </c>
      <c r="Q209">
        <v>2797</v>
      </c>
      <c r="R209">
        <v>2234</v>
      </c>
      <c r="S209">
        <v>2007</v>
      </c>
      <c r="T209">
        <v>1852</v>
      </c>
      <c r="U209">
        <v>1562</v>
      </c>
      <c r="V209">
        <v>1412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1002184</v>
      </c>
    </row>
    <row r="210" spans="1:50" x14ac:dyDescent="0.2">
      <c r="A210" t="s">
        <v>12</v>
      </c>
      <c r="C210">
        <v>208</v>
      </c>
      <c r="D210">
        <v>11</v>
      </c>
      <c r="E210" t="s">
        <v>294</v>
      </c>
      <c r="F210">
        <v>2014</v>
      </c>
      <c r="G210">
        <v>585720</v>
      </c>
      <c r="H210">
        <v>475251</v>
      </c>
      <c r="I210">
        <v>56572</v>
      </c>
      <c r="J210">
        <v>28306</v>
      </c>
      <c r="K210">
        <v>21266</v>
      </c>
      <c r="L210">
        <v>11930</v>
      </c>
      <c r="M210">
        <v>11548</v>
      </c>
      <c r="N210">
        <v>11265</v>
      </c>
      <c r="O210">
        <v>6724</v>
      </c>
      <c r="P210">
        <v>4980</v>
      </c>
      <c r="Q210">
        <v>4956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1218518</v>
      </c>
    </row>
    <row r="211" spans="1:50" x14ac:dyDescent="0.2">
      <c r="A211" t="s">
        <v>12</v>
      </c>
      <c r="C211">
        <v>209</v>
      </c>
      <c r="D211">
        <v>17</v>
      </c>
      <c r="E211" t="s">
        <v>295</v>
      </c>
      <c r="F211">
        <v>2014</v>
      </c>
      <c r="G211">
        <v>480594</v>
      </c>
      <c r="H211">
        <v>384553</v>
      </c>
      <c r="I211">
        <v>99392</v>
      </c>
      <c r="J211">
        <v>46345</v>
      </c>
      <c r="K211">
        <v>20297</v>
      </c>
      <c r="L211">
        <v>15801</v>
      </c>
      <c r="M211">
        <v>11767</v>
      </c>
      <c r="N211">
        <v>10444</v>
      </c>
      <c r="O211">
        <v>9898</v>
      </c>
      <c r="P211">
        <v>6922</v>
      </c>
      <c r="Q211">
        <v>6374</v>
      </c>
      <c r="R211">
        <v>4427</v>
      </c>
      <c r="S211">
        <v>4397</v>
      </c>
      <c r="T211">
        <v>3250</v>
      </c>
      <c r="U211">
        <v>3243</v>
      </c>
      <c r="V211">
        <v>3008</v>
      </c>
      <c r="W211">
        <v>2652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1113364</v>
      </c>
    </row>
    <row r="212" spans="1:50" x14ac:dyDescent="0.2">
      <c r="A212" t="s">
        <v>12</v>
      </c>
      <c r="C212">
        <v>210</v>
      </c>
      <c r="D212">
        <v>14</v>
      </c>
      <c r="E212" t="s">
        <v>296</v>
      </c>
      <c r="F212">
        <v>2014</v>
      </c>
      <c r="G212">
        <v>559755</v>
      </c>
      <c r="H212">
        <v>443218</v>
      </c>
      <c r="I212">
        <v>25628</v>
      </c>
      <c r="J212">
        <v>25499</v>
      </c>
      <c r="K212">
        <v>12762</v>
      </c>
      <c r="L212">
        <v>12241</v>
      </c>
      <c r="M212">
        <v>6601</v>
      </c>
      <c r="N212">
        <v>5696</v>
      </c>
      <c r="O212">
        <v>3450</v>
      </c>
      <c r="P212">
        <v>3117</v>
      </c>
      <c r="Q212">
        <v>2872</v>
      </c>
      <c r="R212">
        <v>2484</v>
      </c>
      <c r="S212">
        <v>2140</v>
      </c>
      <c r="T212">
        <v>2035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1107498</v>
      </c>
    </row>
    <row r="213" spans="1:50" x14ac:dyDescent="0.2">
      <c r="A213" t="s">
        <v>12</v>
      </c>
      <c r="C213">
        <v>211</v>
      </c>
      <c r="D213">
        <v>9</v>
      </c>
      <c r="E213" t="s">
        <v>297</v>
      </c>
      <c r="F213">
        <v>2014</v>
      </c>
      <c r="G213">
        <v>669128</v>
      </c>
      <c r="H213">
        <v>279168</v>
      </c>
      <c r="I213">
        <v>18741</v>
      </c>
      <c r="J213">
        <v>17837</v>
      </c>
      <c r="K213">
        <v>14154</v>
      </c>
      <c r="L213">
        <v>13412</v>
      </c>
      <c r="M213">
        <v>7132</v>
      </c>
      <c r="N213">
        <v>6378</v>
      </c>
      <c r="O213">
        <v>5225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1031175</v>
      </c>
    </row>
    <row r="214" spans="1:50" x14ac:dyDescent="0.2">
      <c r="A214" t="s">
        <v>12</v>
      </c>
      <c r="C214">
        <v>212</v>
      </c>
      <c r="D214">
        <v>13</v>
      </c>
      <c r="E214" t="s">
        <v>298</v>
      </c>
      <c r="F214">
        <v>2014</v>
      </c>
      <c r="G214">
        <v>714348</v>
      </c>
      <c r="H214">
        <v>303650</v>
      </c>
      <c r="I214">
        <v>10824</v>
      </c>
      <c r="J214">
        <v>10618</v>
      </c>
      <c r="K214">
        <v>9699</v>
      </c>
      <c r="L214">
        <v>5359</v>
      </c>
      <c r="M214">
        <v>5204</v>
      </c>
      <c r="N214">
        <v>4159</v>
      </c>
      <c r="O214">
        <v>3293</v>
      </c>
      <c r="P214">
        <v>2200</v>
      </c>
      <c r="Q214">
        <v>1761</v>
      </c>
      <c r="R214">
        <v>1270</v>
      </c>
      <c r="S214">
        <v>1088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1073473</v>
      </c>
    </row>
    <row r="215" spans="1:50" x14ac:dyDescent="0.2">
      <c r="A215" t="s">
        <v>12</v>
      </c>
      <c r="C215">
        <v>213</v>
      </c>
      <c r="D215">
        <v>29</v>
      </c>
      <c r="E215" t="s">
        <v>299</v>
      </c>
      <c r="F215">
        <v>2014</v>
      </c>
      <c r="G215">
        <v>714178</v>
      </c>
      <c r="H215">
        <v>343482</v>
      </c>
      <c r="I215">
        <v>21298</v>
      </c>
      <c r="J215">
        <v>10152</v>
      </c>
      <c r="K215">
        <v>7643</v>
      </c>
      <c r="L215">
        <v>5742</v>
      </c>
      <c r="M215">
        <v>5557</v>
      </c>
      <c r="N215">
        <v>5181</v>
      </c>
      <c r="O215">
        <v>1878</v>
      </c>
      <c r="P215">
        <v>1840</v>
      </c>
      <c r="Q215">
        <v>1494</v>
      </c>
      <c r="R215">
        <v>1348</v>
      </c>
      <c r="S215">
        <v>832</v>
      </c>
      <c r="T215">
        <v>796</v>
      </c>
      <c r="U215">
        <v>763</v>
      </c>
      <c r="V215">
        <v>684</v>
      </c>
      <c r="W215">
        <v>681</v>
      </c>
      <c r="X215">
        <v>628</v>
      </c>
      <c r="Y215">
        <v>625</v>
      </c>
      <c r="Z215">
        <v>622</v>
      </c>
      <c r="AA215">
        <v>620</v>
      </c>
      <c r="AB215">
        <v>614</v>
      </c>
      <c r="AC215">
        <v>570</v>
      </c>
      <c r="AD215">
        <v>569</v>
      </c>
      <c r="AE215">
        <v>551</v>
      </c>
      <c r="AF215">
        <v>523</v>
      </c>
      <c r="AG215">
        <v>465</v>
      </c>
      <c r="AH215">
        <v>425</v>
      </c>
      <c r="AI215">
        <v>421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1130182</v>
      </c>
    </row>
    <row r="216" spans="1:50" x14ac:dyDescent="0.2">
      <c r="A216" t="s">
        <v>12</v>
      </c>
      <c r="C216">
        <v>214</v>
      </c>
      <c r="D216">
        <v>7</v>
      </c>
      <c r="E216" t="s">
        <v>300</v>
      </c>
      <c r="F216">
        <v>2014</v>
      </c>
      <c r="G216">
        <v>596727</v>
      </c>
      <c r="H216">
        <v>367990</v>
      </c>
      <c r="I216">
        <v>13864</v>
      </c>
      <c r="J216">
        <v>10292</v>
      </c>
      <c r="K216">
        <v>8818</v>
      </c>
      <c r="L216">
        <v>8699</v>
      </c>
      <c r="M216">
        <v>4334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1010724</v>
      </c>
    </row>
    <row r="217" spans="1:50" x14ac:dyDescent="0.2">
      <c r="A217" t="s">
        <v>12</v>
      </c>
      <c r="C217">
        <v>215</v>
      </c>
      <c r="D217">
        <v>12</v>
      </c>
      <c r="E217" t="s">
        <v>301</v>
      </c>
      <c r="F217">
        <v>2014</v>
      </c>
      <c r="G217">
        <v>665646</v>
      </c>
      <c r="H217">
        <v>405333</v>
      </c>
      <c r="I217">
        <v>17238</v>
      </c>
      <c r="J217">
        <v>16376</v>
      </c>
      <c r="K217">
        <v>10253</v>
      </c>
      <c r="L217">
        <v>10113</v>
      </c>
      <c r="M217">
        <v>4862</v>
      </c>
      <c r="N217">
        <v>4659</v>
      </c>
      <c r="O217">
        <v>4216</v>
      </c>
      <c r="P217">
        <v>2763</v>
      </c>
      <c r="Q217">
        <v>1509</v>
      </c>
      <c r="R217">
        <v>1002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1143970</v>
      </c>
    </row>
    <row r="218" spans="1:50" x14ac:dyDescent="0.2">
      <c r="A218" t="s">
        <v>12</v>
      </c>
      <c r="C218">
        <v>216</v>
      </c>
      <c r="D218">
        <v>13</v>
      </c>
      <c r="E218" t="s">
        <v>302</v>
      </c>
      <c r="F218">
        <v>2014</v>
      </c>
      <c r="G218">
        <v>641101</v>
      </c>
      <c r="H218">
        <v>331438</v>
      </c>
      <c r="I218">
        <v>12287</v>
      </c>
      <c r="J218">
        <v>9969</v>
      </c>
      <c r="K218">
        <v>5917</v>
      </c>
      <c r="L218">
        <v>4439</v>
      </c>
      <c r="M218">
        <v>3636</v>
      </c>
      <c r="N218">
        <v>2015</v>
      </c>
      <c r="O218">
        <v>1669</v>
      </c>
      <c r="P218">
        <v>1257</v>
      </c>
      <c r="Q218">
        <v>927</v>
      </c>
      <c r="R218">
        <v>902</v>
      </c>
      <c r="S218">
        <v>848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1016405</v>
      </c>
    </row>
    <row r="219" spans="1:50" x14ac:dyDescent="0.2">
      <c r="A219" t="s">
        <v>12</v>
      </c>
      <c r="C219">
        <v>217</v>
      </c>
      <c r="D219">
        <v>15</v>
      </c>
      <c r="E219" t="s">
        <v>303</v>
      </c>
      <c r="F219">
        <v>2014</v>
      </c>
      <c r="G219">
        <v>698335</v>
      </c>
      <c r="H219">
        <v>394686</v>
      </c>
      <c r="I219">
        <v>10183</v>
      </c>
      <c r="J219">
        <v>8568</v>
      </c>
      <c r="K219">
        <v>8333</v>
      </c>
      <c r="L219">
        <v>8104</v>
      </c>
      <c r="M219">
        <v>7992</v>
      </c>
      <c r="N219">
        <v>7615</v>
      </c>
      <c r="O219">
        <v>3501</v>
      </c>
      <c r="P219">
        <v>3441</v>
      </c>
      <c r="Q219">
        <v>3151</v>
      </c>
      <c r="R219">
        <v>2626</v>
      </c>
      <c r="S219">
        <v>1685</v>
      </c>
      <c r="T219">
        <v>1616</v>
      </c>
      <c r="U219">
        <v>1513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1161349</v>
      </c>
    </row>
    <row r="220" spans="1:50" x14ac:dyDescent="0.2">
      <c r="A220" t="s">
        <v>12</v>
      </c>
      <c r="C220">
        <v>218</v>
      </c>
      <c r="D220">
        <v>11</v>
      </c>
      <c r="E220" t="s">
        <v>304</v>
      </c>
      <c r="F220">
        <v>2014</v>
      </c>
      <c r="G220">
        <v>545980</v>
      </c>
      <c r="H220">
        <v>437523</v>
      </c>
      <c r="I220">
        <v>30364</v>
      </c>
      <c r="J220">
        <v>18485</v>
      </c>
      <c r="K220">
        <v>13116</v>
      </c>
      <c r="L220">
        <v>10979</v>
      </c>
      <c r="M220">
        <v>6638</v>
      </c>
      <c r="N220">
        <v>6085</v>
      </c>
      <c r="O220">
        <v>6078</v>
      </c>
      <c r="P220">
        <v>3861</v>
      </c>
      <c r="Q220">
        <v>3581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1082690</v>
      </c>
    </row>
    <row r="221" spans="1:50" x14ac:dyDescent="0.2">
      <c r="A221" t="s">
        <v>12</v>
      </c>
      <c r="C221">
        <v>219</v>
      </c>
      <c r="D221">
        <v>8</v>
      </c>
      <c r="E221" t="s">
        <v>305</v>
      </c>
      <c r="F221">
        <v>2014</v>
      </c>
      <c r="G221">
        <v>558387</v>
      </c>
      <c r="H221">
        <v>454059</v>
      </c>
      <c r="I221">
        <v>15437</v>
      </c>
      <c r="J221">
        <v>14666</v>
      </c>
      <c r="K221">
        <v>11481</v>
      </c>
      <c r="L221">
        <v>10683</v>
      </c>
      <c r="M221">
        <v>8303</v>
      </c>
      <c r="N221">
        <v>3800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1076816</v>
      </c>
    </row>
    <row r="222" spans="1:50" x14ac:dyDescent="0.2">
      <c r="A222" t="s">
        <v>12</v>
      </c>
      <c r="C222">
        <v>220</v>
      </c>
      <c r="D222">
        <v>22</v>
      </c>
      <c r="E222" t="s">
        <v>306</v>
      </c>
      <c r="F222">
        <v>2014</v>
      </c>
      <c r="G222">
        <v>854972</v>
      </c>
      <c r="H222">
        <v>388071</v>
      </c>
      <c r="I222">
        <v>35169</v>
      </c>
      <c r="J222">
        <v>7422</v>
      </c>
      <c r="K222">
        <v>5944</v>
      </c>
      <c r="L222">
        <v>3862</v>
      </c>
      <c r="M222">
        <v>3725</v>
      </c>
      <c r="N222">
        <v>2528</v>
      </c>
      <c r="O222">
        <v>1867</v>
      </c>
      <c r="P222">
        <v>1768</v>
      </c>
      <c r="Q222">
        <v>1619</v>
      </c>
      <c r="R222">
        <v>1576</v>
      </c>
      <c r="S222">
        <v>1356</v>
      </c>
      <c r="T222">
        <v>1352</v>
      </c>
      <c r="U222">
        <v>981</v>
      </c>
      <c r="V222">
        <v>740</v>
      </c>
      <c r="W222">
        <v>0</v>
      </c>
      <c r="X222">
        <v>598</v>
      </c>
      <c r="Y222">
        <v>579</v>
      </c>
      <c r="Z222">
        <v>554</v>
      </c>
      <c r="AA222">
        <v>517</v>
      </c>
      <c r="AB222">
        <v>477</v>
      </c>
      <c r="AC222">
        <v>400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1316077</v>
      </c>
    </row>
    <row r="223" spans="1:50" x14ac:dyDescent="0.2">
      <c r="A223" t="s">
        <v>12</v>
      </c>
      <c r="C223">
        <v>221</v>
      </c>
      <c r="D223">
        <v>9</v>
      </c>
      <c r="E223" t="s">
        <v>307</v>
      </c>
      <c r="F223">
        <v>2014</v>
      </c>
      <c r="G223">
        <v>649354</v>
      </c>
      <c r="H223">
        <v>391475</v>
      </c>
      <c r="I223">
        <v>31222</v>
      </c>
      <c r="J223">
        <v>25930</v>
      </c>
      <c r="K223">
        <v>22141</v>
      </c>
      <c r="L223">
        <v>8553</v>
      </c>
      <c r="M223">
        <v>8544</v>
      </c>
      <c r="N223">
        <v>8266</v>
      </c>
      <c r="O223">
        <v>7040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1152525</v>
      </c>
    </row>
    <row r="224" spans="1:50" x14ac:dyDescent="0.2">
      <c r="A224" t="s">
        <v>12</v>
      </c>
      <c r="C224">
        <v>222</v>
      </c>
      <c r="D224">
        <v>15</v>
      </c>
      <c r="E224" t="s">
        <v>308</v>
      </c>
      <c r="F224">
        <v>2014</v>
      </c>
      <c r="G224">
        <v>717357</v>
      </c>
      <c r="H224">
        <v>457643</v>
      </c>
      <c r="I224">
        <v>17149</v>
      </c>
      <c r="J224">
        <v>16799</v>
      </c>
      <c r="K224">
        <v>13691</v>
      </c>
      <c r="L224">
        <v>12036</v>
      </c>
      <c r="M224">
        <v>6226</v>
      </c>
      <c r="N224">
        <v>5307</v>
      </c>
      <c r="O224">
        <v>2429</v>
      </c>
      <c r="P224">
        <v>2255</v>
      </c>
      <c r="Q224">
        <v>1783</v>
      </c>
      <c r="R224">
        <v>1235</v>
      </c>
      <c r="S224">
        <v>1208</v>
      </c>
      <c r="T224">
        <v>1134</v>
      </c>
      <c r="U224">
        <v>1075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1257327</v>
      </c>
    </row>
    <row r="225" spans="1:50" x14ac:dyDescent="0.2">
      <c r="A225" t="s">
        <v>12</v>
      </c>
      <c r="C225">
        <v>223</v>
      </c>
      <c r="D225">
        <v>9</v>
      </c>
      <c r="E225" t="s">
        <v>309</v>
      </c>
      <c r="F225">
        <v>2014</v>
      </c>
      <c r="G225">
        <v>643651</v>
      </c>
      <c r="H225">
        <v>315037</v>
      </c>
      <c r="I225">
        <v>26726</v>
      </c>
      <c r="J225">
        <v>20627</v>
      </c>
      <c r="K225">
        <v>16461</v>
      </c>
      <c r="L225">
        <v>12933</v>
      </c>
      <c r="M225">
        <v>4668</v>
      </c>
      <c r="N225">
        <v>4546</v>
      </c>
      <c r="O225">
        <v>3070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1047719</v>
      </c>
    </row>
    <row r="226" spans="1:50" x14ac:dyDescent="0.2">
      <c r="A226" t="s">
        <v>13</v>
      </c>
      <c r="C226">
        <v>224</v>
      </c>
      <c r="D226">
        <v>10</v>
      </c>
      <c r="E226" t="s">
        <v>310</v>
      </c>
      <c r="F226">
        <v>2014</v>
      </c>
      <c r="G226">
        <v>579486</v>
      </c>
      <c r="H226">
        <v>472581</v>
      </c>
      <c r="I226">
        <v>21178</v>
      </c>
      <c r="J226">
        <v>12133</v>
      </c>
      <c r="K226">
        <v>9184</v>
      </c>
      <c r="L226">
        <v>6004</v>
      </c>
      <c r="M226">
        <v>4712</v>
      </c>
      <c r="N226">
        <v>4389</v>
      </c>
      <c r="O226">
        <v>3511</v>
      </c>
      <c r="P226">
        <v>3498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1116676</v>
      </c>
    </row>
    <row r="227" spans="1:50" x14ac:dyDescent="0.2">
      <c r="A227" t="s">
        <v>13</v>
      </c>
      <c r="C227">
        <v>225</v>
      </c>
      <c r="D227">
        <v>20</v>
      </c>
      <c r="E227" t="s">
        <v>311</v>
      </c>
      <c r="F227">
        <v>2014</v>
      </c>
      <c r="G227">
        <v>529450</v>
      </c>
      <c r="H227">
        <v>398727</v>
      </c>
      <c r="I227">
        <v>9897</v>
      </c>
      <c r="J227">
        <v>9339</v>
      </c>
      <c r="K227">
        <v>8057</v>
      </c>
      <c r="L227">
        <v>6117</v>
      </c>
      <c r="M227">
        <v>5278</v>
      </c>
      <c r="N227">
        <v>2503</v>
      </c>
      <c r="O227">
        <v>2091</v>
      </c>
      <c r="P227">
        <v>1600</v>
      </c>
      <c r="Q227">
        <v>1545</v>
      </c>
      <c r="R227">
        <v>1355</v>
      </c>
      <c r="S227">
        <v>1149</v>
      </c>
      <c r="T227">
        <v>1148</v>
      </c>
      <c r="U227">
        <v>914</v>
      </c>
      <c r="V227">
        <v>828</v>
      </c>
      <c r="W227">
        <v>792</v>
      </c>
      <c r="X227">
        <v>788</v>
      </c>
      <c r="Y227">
        <v>765</v>
      </c>
      <c r="Z227">
        <v>740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983083</v>
      </c>
    </row>
    <row r="228" spans="1:50" x14ac:dyDescent="0.2">
      <c r="A228" t="s">
        <v>13</v>
      </c>
      <c r="C228">
        <v>226</v>
      </c>
      <c r="D228">
        <v>21</v>
      </c>
      <c r="E228" t="s">
        <v>312</v>
      </c>
      <c r="F228">
        <v>2014</v>
      </c>
      <c r="G228">
        <v>647773</v>
      </c>
      <c r="H228">
        <v>264248</v>
      </c>
      <c r="I228">
        <v>10838</v>
      </c>
      <c r="J228">
        <v>9614</v>
      </c>
      <c r="K228">
        <v>8140</v>
      </c>
      <c r="L228">
        <v>7390</v>
      </c>
      <c r="M228">
        <v>6157</v>
      </c>
      <c r="N228">
        <v>5801</v>
      </c>
      <c r="O228">
        <v>3998</v>
      </c>
      <c r="P228">
        <v>3268</v>
      </c>
      <c r="Q228">
        <v>3212</v>
      </c>
      <c r="R228">
        <v>2879</v>
      </c>
      <c r="S228">
        <v>2718</v>
      </c>
      <c r="T228">
        <v>2675</v>
      </c>
      <c r="U228">
        <v>2246</v>
      </c>
      <c r="V228">
        <v>1917</v>
      </c>
      <c r="W228">
        <v>1708</v>
      </c>
      <c r="X228">
        <v>1676</v>
      </c>
      <c r="Y228">
        <v>1579</v>
      </c>
      <c r="Z228">
        <v>1537</v>
      </c>
      <c r="AA228">
        <v>958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990332</v>
      </c>
    </row>
    <row r="229" spans="1:50" x14ac:dyDescent="0.2">
      <c r="A229" t="s">
        <v>13</v>
      </c>
      <c r="C229">
        <v>227</v>
      </c>
      <c r="D229">
        <v>24</v>
      </c>
      <c r="E229" t="s">
        <v>313</v>
      </c>
      <c r="F229">
        <v>2014</v>
      </c>
      <c r="G229">
        <v>605452</v>
      </c>
      <c r="H229">
        <v>287384</v>
      </c>
      <c r="I229">
        <v>29752</v>
      </c>
      <c r="J229">
        <v>21332</v>
      </c>
      <c r="K229">
        <v>14599</v>
      </c>
      <c r="L229">
        <v>8797</v>
      </c>
      <c r="M229">
        <v>4376</v>
      </c>
      <c r="N229">
        <v>4212</v>
      </c>
      <c r="O229">
        <v>4009</v>
      </c>
      <c r="P229">
        <v>3756</v>
      </c>
      <c r="Q229">
        <v>3707</v>
      </c>
      <c r="R229">
        <v>3349</v>
      </c>
      <c r="S229">
        <v>2844</v>
      </c>
      <c r="T229">
        <v>2658</v>
      </c>
      <c r="U229">
        <v>1757</v>
      </c>
      <c r="V229">
        <v>1634</v>
      </c>
      <c r="W229">
        <v>1606</v>
      </c>
      <c r="X229">
        <v>1375</v>
      </c>
      <c r="Y229">
        <v>1258</v>
      </c>
      <c r="Z229">
        <v>1220</v>
      </c>
      <c r="AA229">
        <v>1206</v>
      </c>
      <c r="AB229">
        <v>1131</v>
      </c>
      <c r="AC229">
        <v>978</v>
      </c>
      <c r="AD229">
        <v>821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1009213</v>
      </c>
    </row>
    <row r="230" spans="1:50" x14ac:dyDescent="0.2">
      <c r="A230" t="s">
        <v>13</v>
      </c>
      <c r="C230">
        <v>228</v>
      </c>
      <c r="D230">
        <v>18</v>
      </c>
      <c r="E230" t="s">
        <v>314</v>
      </c>
      <c r="F230">
        <v>2014</v>
      </c>
      <c r="G230">
        <v>509145</v>
      </c>
      <c r="H230">
        <v>349566</v>
      </c>
      <c r="I230">
        <v>33783</v>
      </c>
      <c r="J230">
        <v>29793</v>
      </c>
      <c r="K230">
        <v>10546</v>
      </c>
      <c r="L230">
        <v>7927</v>
      </c>
      <c r="M230">
        <v>6983</v>
      </c>
      <c r="N230">
        <v>6959</v>
      </c>
      <c r="O230">
        <v>4520</v>
      </c>
      <c r="P230">
        <v>3429</v>
      </c>
      <c r="Q230">
        <v>2750</v>
      </c>
      <c r="R230">
        <v>2448</v>
      </c>
      <c r="S230">
        <v>2077</v>
      </c>
      <c r="T230">
        <v>2006</v>
      </c>
      <c r="U230">
        <v>1917</v>
      </c>
      <c r="V230">
        <v>1787</v>
      </c>
      <c r="W230">
        <v>1725</v>
      </c>
      <c r="X230">
        <v>1265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978626</v>
      </c>
    </row>
    <row r="231" spans="1:50" x14ac:dyDescent="0.2">
      <c r="A231" t="s">
        <v>13</v>
      </c>
      <c r="C231">
        <v>229</v>
      </c>
      <c r="D231">
        <v>8</v>
      </c>
      <c r="E231" t="s">
        <v>315</v>
      </c>
      <c r="F231">
        <v>2014</v>
      </c>
      <c r="G231">
        <v>456472</v>
      </c>
      <c r="H231">
        <v>253356</v>
      </c>
      <c r="I231">
        <v>238776</v>
      </c>
      <c r="J231">
        <v>8076</v>
      </c>
      <c r="K231">
        <v>7858</v>
      </c>
      <c r="L231">
        <v>6206</v>
      </c>
      <c r="M231">
        <v>3991</v>
      </c>
      <c r="N231">
        <v>3756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978491</v>
      </c>
    </row>
    <row r="232" spans="1:50" x14ac:dyDescent="0.2">
      <c r="A232" t="s">
        <v>13</v>
      </c>
      <c r="C232">
        <v>230</v>
      </c>
      <c r="D232">
        <v>20</v>
      </c>
      <c r="E232" t="s">
        <v>316</v>
      </c>
      <c r="F232">
        <v>2014</v>
      </c>
      <c r="G232">
        <v>467212</v>
      </c>
      <c r="H232">
        <v>329280</v>
      </c>
      <c r="I232">
        <v>98200</v>
      </c>
      <c r="J232">
        <v>54278</v>
      </c>
      <c r="K232">
        <v>10052</v>
      </c>
      <c r="L232">
        <v>7873</v>
      </c>
      <c r="M232">
        <v>6424</v>
      </c>
      <c r="N232">
        <v>5268</v>
      </c>
      <c r="O232">
        <v>4139</v>
      </c>
      <c r="P232">
        <v>3732</v>
      </c>
      <c r="Q232">
        <v>3724</v>
      </c>
      <c r="R232">
        <v>2489</v>
      </c>
      <c r="S232">
        <v>2011</v>
      </c>
      <c r="T232">
        <v>1734</v>
      </c>
      <c r="U232">
        <v>1649</v>
      </c>
      <c r="V232">
        <v>1463</v>
      </c>
      <c r="W232">
        <v>1442</v>
      </c>
      <c r="X232">
        <v>1312</v>
      </c>
      <c r="Y232">
        <v>970</v>
      </c>
      <c r="Z232">
        <v>809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1004061</v>
      </c>
    </row>
    <row r="233" spans="1:50" x14ac:dyDescent="0.2">
      <c r="A233" t="s">
        <v>13</v>
      </c>
      <c r="C233">
        <v>231</v>
      </c>
      <c r="D233">
        <v>22</v>
      </c>
      <c r="E233" t="s">
        <v>317</v>
      </c>
      <c r="F233">
        <v>2014</v>
      </c>
      <c r="G233">
        <v>537518</v>
      </c>
      <c r="H233">
        <v>321735</v>
      </c>
      <c r="I233">
        <v>90866</v>
      </c>
      <c r="J233">
        <v>15738</v>
      </c>
      <c r="K233">
        <v>6405</v>
      </c>
      <c r="L233">
        <v>5127</v>
      </c>
      <c r="M233">
        <v>4436</v>
      </c>
      <c r="N233">
        <v>3881</v>
      </c>
      <c r="O233">
        <v>3440</v>
      </c>
      <c r="P233">
        <v>3343</v>
      </c>
      <c r="Q233">
        <v>3156</v>
      </c>
      <c r="R233">
        <v>2638</v>
      </c>
      <c r="S233">
        <v>2627</v>
      </c>
      <c r="T233">
        <v>2518</v>
      </c>
      <c r="U233">
        <v>2124</v>
      </c>
      <c r="V233">
        <v>1858</v>
      </c>
      <c r="W233">
        <v>1431</v>
      </c>
      <c r="X233">
        <v>1245</v>
      </c>
      <c r="Y233">
        <v>1122</v>
      </c>
      <c r="Z233">
        <v>853</v>
      </c>
      <c r="AA233">
        <v>770</v>
      </c>
      <c r="AB233">
        <v>614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1013445</v>
      </c>
    </row>
    <row r="234" spans="1:50" x14ac:dyDescent="0.2">
      <c r="A234" t="s">
        <v>13</v>
      </c>
      <c r="C234">
        <v>232</v>
      </c>
      <c r="D234">
        <v>24</v>
      </c>
      <c r="E234" t="s">
        <v>318</v>
      </c>
      <c r="F234">
        <v>2014</v>
      </c>
      <c r="G234">
        <v>519892</v>
      </c>
      <c r="H234">
        <v>344101</v>
      </c>
      <c r="I234">
        <v>95051</v>
      </c>
      <c r="J234">
        <v>25889</v>
      </c>
      <c r="K234">
        <v>6353</v>
      </c>
      <c r="L234">
        <v>6304</v>
      </c>
      <c r="M234">
        <v>6222</v>
      </c>
      <c r="N234">
        <v>4816</v>
      </c>
      <c r="O234">
        <v>4756</v>
      </c>
      <c r="P234">
        <v>3999</v>
      </c>
      <c r="Q234">
        <v>3634</v>
      </c>
      <c r="R234">
        <v>3419</v>
      </c>
      <c r="S234">
        <v>2925</v>
      </c>
      <c r="T234">
        <v>2841</v>
      </c>
      <c r="U234">
        <v>2682</v>
      </c>
      <c r="V234">
        <v>2640</v>
      </c>
      <c r="W234">
        <v>2537</v>
      </c>
      <c r="X234">
        <v>2424</v>
      </c>
      <c r="Y234">
        <v>2310</v>
      </c>
      <c r="Z234">
        <v>1735</v>
      </c>
      <c r="AA234">
        <v>1602</v>
      </c>
      <c r="AB234">
        <v>1542</v>
      </c>
      <c r="AC234">
        <v>1453</v>
      </c>
      <c r="AD234">
        <v>1189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1050316</v>
      </c>
    </row>
    <row r="235" spans="1:50" x14ac:dyDescent="0.2">
      <c r="A235" t="s">
        <v>13</v>
      </c>
      <c r="C235">
        <v>233</v>
      </c>
      <c r="D235">
        <v>33</v>
      </c>
      <c r="E235" t="s">
        <v>319</v>
      </c>
      <c r="F235">
        <v>2014</v>
      </c>
      <c r="G235">
        <v>587767</v>
      </c>
      <c r="H235">
        <v>302919</v>
      </c>
      <c r="I235">
        <v>96433</v>
      </c>
      <c r="J235">
        <v>69081</v>
      </c>
      <c r="K235">
        <v>3460</v>
      </c>
      <c r="L235">
        <v>2408</v>
      </c>
      <c r="M235">
        <v>2269</v>
      </c>
      <c r="N235">
        <v>2017</v>
      </c>
      <c r="O235">
        <v>1880</v>
      </c>
      <c r="P235">
        <v>1366</v>
      </c>
      <c r="Q235">
        <v>1262</v>
      </c>
      <c r="R235">
        <v>1187</v>
      </c>
      <c r="S235">
        <v>1077</v>
      </c>
      <c r="T235">
        <v>836</v>
      </c>
      <c r="U235">
        <v>807</v>
      </c>
      <c r="V235">
        <v>784</v>
      </c>
      <c r="W235">
        <v>760</v>
      </c>
      <c r="X235">
        <v>677</v>
      </c>
      <c r="Y235">
        <v>665</v>
      </c>
      <c r="Z235">
        <v>660</v>
      </c>
      <c r="AA235">
        <v>655</v>
      </c>
      <c r="AB235">
        <v>542</v>
      </c>
      <c r="AC235">
        <v>0</v>
      </c>
      <c r="AD235">
        <v>539</v>
      </c>
      <c r="AE235">
        <v>537</v>
      </c>
      <c r="AF235">
        <v>528</v>
      </c>
      <c r="AG235">
        <v>466</v>
      </c>
      <c r="AH235">
        <v>452</v>
      </c>
      <c r="AI235">
        <v>439</v>
      </c>
      <c r="AJ235">
        <v>426</v>
      </c>
      <c r="AK235">
        <v>419</v>
      </c>
      <c r="AL235">
        <v>415</v>
      </c>
      <c r="AM235">
        <v>390</v>
      </c>
      <c r="AN235">
        <v>373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1084496</v>
      </c>
    </row>
    <row r="236" spans="1:50" x14ac:dyDescent="0.2">
      <c r="A236" t="s">
        <v>13</v>
      </c>
      <c r="C236">
        <v>234</v>
      </c>
      <c r="D236">
        <v>27</v>
      </c>
      <c r="E236" t="s">
        <v>320</v>
      </c>
      <c r="F236">
        <v>2014</v>
      </c>
      <c r="G236">
        <v>606129</v>
      </c>
      <c r="H236">
        <v>456875</v>
      </c>
      <c r="I236">
        <v>50958</v>
      </c>
      <c r="J236">
        <v>10133</v>
      </c>
      <c r="K236">
        <v>10127</v>
      </c>
      <c r="L236">
        <v>9736</v>
      </c>
      <c r="M236">
        <v>8647</v>
      </c>
      <c r="N236">
        <v>6128</v>
      </c>
      <c r="O236">
        <v>5941</v>
      </c>
      <c r="P236">
        <v>4417</v>
      </c>
      <c r="Q236">
        <v>4169</v>
      </c>
      <c r="R236">
        <v>4032</v>
      </c>
      <c r="S236">
        <v>1955</v>
      </c>
      <c r="T236">
        <v>1876</v>
      </c>
      <c r="U236">
        <v>1729</v>
      </c>
      <c r="V236">
        <v>1578</v>
      </c>
      <c r="W236">
        <v>1544</v>
      </c>
      <c r="X236">
        <v>1542</v>
      </c>
      <c r="Y236">
        <v>1477</v>
      </c>
      <c r="Z236">
        <v>1429</v>
      </c>
      <c r="AA236">
        <v>1380</v>
      </c>
      <c r="AB236">
        <v>1260</v>
      </c>
      <c r="AC236">
        <v>1077</v>
      </c>
      <c r="AD236">
        <v>987</v>
      </c>
      <c r="AE236">
        <v>899</v>
      </c>
      <c r="AF236">
        <v>594</v>
      </c>
      <c r="AG236">
        <v>577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1197196</v>
      </c>
    </row>
    <row r="237" spans="1:50" x14ac:dyDescent="0.2">
      <c r="A237" t="s">
        <v>13</v>
      </c>
      <c r="C237">
        <v>235</v>
      </c>
      <c r="D237">
        <v>12</v>
      </c>
      <c r="E237" t="s">
        <v>321</v>
      </c>
      <c r="F237">
        <v>2014</v>
      </c>
      <c r="G237">
        <v>535982</v>
      </c>
      <c r="H237">
        <v>299112</v>
      </c>
      <c r="I237">
        <v>66906</v>
      </c>
      <c r="J237">
        <v>45458</v>
      </c>
      <c r="K237">
        <v>24488</v>
      </c>
      <c r="L237">
        <v>22512</v>
      </c>
      <c r="M237">
        <v>8156</v>
      </c>
      <c r="N237">
        <v>6606</v>
      </c>
      <c r="O237">
        <v>6470</v>
      </c>
      <c r="P237">
        <v>4287</v>
      </c>
      <c r="Q237">
        <v>3730</v>
      </c>
      <c r="R237">
        <v>3422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1027129</v>
      </c>
    </row>
    <row r="238" spans="1:50" x14ac:dyDescent="0.2">
      <c r="A238" t="s">
        <v>13</v>
      </c>
      <c r="C238">
        <v>236</v>
      </c>
      <c r="D238">
        <v>19</v>
      </c>
      <c r="E238" t="s">
        <v>322</v>
      </c>
      <c r="F238">
        <v>2014</v>
      </c>
      <c r="G238">
        <v>508049</v>
      </c>
      <c r="H238">
        <v>271780</v>
      </c>
      <c r="I238">
        <v>204413</v>
      </c>
      <c r="J238">
        <v>49229</v>
      </c>
      <c r="K238">
        <v>10930</v>
      </c>
      <c r="L238">
        <v>8936</v>
      </c>
      <c r="M238">
        <v>8302</v>
      </c>
      <c r="N238">
        <v>8257</v>
      </c>
      <c r="O238">
        <v>5829</v>
      </c>
      <c r="P238">
        <v>4850</v>
      </c>
      <c r="Q238">
        <v>4341</v>
      </c>
      <c r="R238">
        <v>4176</v>
      </c>
      <c r="S238">
        <v>3879</v>
      </c>
      <c r="T238">
        <v>3772</v>
      </c>
      <c r="U238">
        <v>3216</v>
      </c>
      <c r="V238">
        <v>2736</v>
      </c>
      <c r="W238">
        <v>2693</v>
      </c>
      <c r="X238">
        <v>2188</v>
      </c>
      <c r="Y238">
        <v>2167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1109743</v>
      </c>
    </row>
    <row r="239" spans="1:50" x14ac:dyDescent="0.2">
      <c r="A239" t="s">
        <v>13</v>
      </c>
      <c r="C239">
        <v>237</v>
      </c>
      <c r="D239">
        <v>27</v>
      </c>
      <c r="E239" t="s">
        <v>323</v>
      </c>
      <c r="F239">
        <v>2014</v>
      </c>
      <c r="G239">
        <v>477905</v>
      </c>
      <c r="H239">
        <v>384089</v>
      </c>
      <c r="I239">
        <v>48981</v>
      </c>
      <c r="J239">
        <v>26194</v>
      </c>
      <c r="K239">
        <v>22143</v>
      </c>
      <c r="L239">
        <v>7482</v>
      </c>
      <c r="M239">
        <v>7166</v>
      </c>
      <c r="N239">
        <v>6423</v>
      </c>
      <c r="O239">
        <v>5672</v>
      </c>
      <c r="P239">
        <v>5583</v>
      </c>
      <c r="Q239">
        <v>4708</v>
      </c>
      <c r="R239">
        <v>4627</v>
      </c>
      <c r="S239">
        <v>3602</v>
      </c>
      <c r="T239">
        <v>3422</v>
      </c>
      <c r="U239">
        <v>3262</v>
      </c>
      <c r="V239">
        <v>2514</v>
      </c>
      <c r="W239">
        <v>2484</v>
      </c>
      <c r="X239">
        <v>2193</v>
      </c>
      <c r="Y239">
        <v>2177</v>
      </c>
      <c r="Z239">
        <v>2172</v>
      </c>
      <c r="AA239">
        <v>2130</v>
      </c>
      <c r="AB239">
        <v>1911</v>
      </c>
      <c r="AC239">
        <v>1558</v>
      </c>
      <c r="AD239">
        <v>1402</v>
      </c>
      <c r="AE239">
        <v>1218</v>
      </c>
      <c r="AF239">
        <v>1036</v>
      </c>
      <c r="AG239">
        <v>895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1032949</v>
      </c>
    </row>
    <row r="240" spans="1:50" x14ac:dyDescent="0.2">
      <c r="A240" t="s">
        <v>13</v>
      </c>
      <c r="C240">
        <v>238</v>
      </c>
      <c r="D240">
        <v>24</v>
      </c>
      <c r="E240" t="s">
        <v>324</v>
      </c>
      <c r="F240">
        <v>2014</v>
      </c>
      <c r="G240">
        <v>467397</v>
      </c>
      <c r="H240">
        <v>465765</v>
      </c>
      <c r="I240">
        <v>25145</v>
      </c>
      <c r="J240">
        <v>14986</v>
      </c>
      <c r="K240">
        <v>9770</v>
      </c>
      <c r="L240">
        <v>9577</v>
      </c>
      <c r="M240">
        <v>7878</v>
      </c>
      <c r="N240">
        <v>6284</v>
      </c>
      <c r="O240">
        <v>6157</v>
      </c>
      <c r="P240">
        <v>5000</v>
      </c>
      <c r="Q240">
        <v>3729</v>
      </c>
      <c r="R240">
        <v>3522</v>
      </c>
      <c r="S240">
        <v>3165</v>
      </c>
      <c r="T240">
        <v>3107</v>
      </c>
      <c r="U240">
        <v>2514</v>
      </c>
      <c r="V240">
        <v>2506</v>
      </c>
      <c r="W240">
        <v>2497</v>
      </c>
      <c r="X240">
        <v>2154</v>
      </c>
      <c r="Y240">
        <v>2147</v>
      </c>
      <c r="Z240">
        <v>2049</v>
      </c>
      <c r="AA240">
        <v>1675</v>
      </c>
      <c r="AB240">
        <v>1526</v>
      </c>
      <c r="AC240">
        <v>1322</v>
      </c>
      <c r="AD240">
        <v>1292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1051164</v>
      </c>
    </row>
    <row r="241" spans="1:50" x14ac:dyDescent="0.2">
      <c r="A241" t="s">
        <v>13</v>
      </c>
      <c r="C241">
        <v>239</v>
      </c>
      <c r="D241">
        <v>24</v>
      </c>
      <c r="E241" t="s">
        <v>325</v>
      </c>
      <c r="F241">
        <v>2014</v>
      </c>
      <c r="G241">
        <v>493075</v>
      </c>
      <c r="H241">
        <v>411620</v>
      </c>
      <c r="I241">
        <v>28447</v>
      </c>
      <c r="J241">
        <v>22809</v>
      </c>
      <c r="K241">
        <v>8088</v>
      </c>
      <c r="L241">
        <v>5825</v>
      </c>
      <c r="M241">
        <v>5694</v>
      </c>
      <c r="N241">
        <v>4771</v>
      </c>
      <c r="O241">
        <v>4206</v>
      </c>
      <c r="P241">
        <v>3397</v>
      </c>
      <c r="Q241">
        <v>3155</v>
      </c>
      <c r="R241">
        <v>3067</v>
      </c>
      <c r="S241">
        <v>2882</v>
      </c>
      <c r="T241">
        <v>1993</v>
      </c>
      <c r="U241">
        <v>1753</v>
      </c>
      <c r="V241">
        <v>1724</v>
      </c>
      <c r="W241">
        <v>1667</v>
      </c>
      <c r="X241">
        <v>1547</v>
      </c>
      <c r="Y241">
        <v>1479</v>
      </c>
      <c r="Z241">
        <v>1473</v>
      </c>
      <c r="AA241">
        <v>1288</v>
      </c>
      <c r="AB241">
        <v>1285</v>
      </c>
      <c r="AC241">
        <v>1065</v>
      </c>
      <c r="AD241">
        <v>1040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1013350</v>
      </c>
    </row>
    <row r="242" spans="1:50" x14ac:dyDescent="0.2">
      <c r="A242" t="s">
        <v>13</v>
      </c>
      <c r="C242">
        <v>240</v>
      </c>
      <c r="D242">
        <v>18</v>
      </c>
      <c r="E242" t="s">
        <v>326</v>
      </c>
      <c r="F242">
        <v>2014</v>
      </c>
      <c r="G242">
        <v>578455</v>
      </c>
      <c r="H242">
        <v>451300</v>
      </c>
      <c r="I242">
        <v>33716</v>
      </c>
      <c r="J242">
        <v>17502</v>
      </c>
      <c r="K242">
        <v>12404</v>
      </c>
      <c r="L242">
        <v>12341</v>
      </c>
      <c r="M242">
        <v>8006</v>
      </c>
      <c r="N242">
        <v>7251</v>
      </c>
      <c r="O242">
        <v>6154</v>
      </c>
      <c r="P242">
        <v>5836</v>
      </c>
      <c r="Q242">
        <v>5507</v>
      </c>
      <c r="R242">
        <v>4781</v>
      </c>
      <c r="S242">
        <v>4449</v>
      </c>
      <c r="T242">
        <v>4103</v>
      </c>
      <c r="U242">
        <v>3120</v>
      </c>
      <c r="V242">
        <v>2947</v>
      </c>
      <c r="W242">
        <v>2492</v>
      </c>
      <c r="X242">
        <v>1869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1162233</v>
      </c>
    </row>
    <row r="243" spans="1:50" x14ac:dyDescent="0.2">
      <c r="A243" t="s">
        <v>13</v>
      </c>
      <c r="C243">
        <v>241</v>
      </c>
      <c r="D243">
        <v>23</v>
      </c>
      <c r="E243" t="s">
        <v>327</v>
      </c>
      <c r="F243">
        <v>2014</v>
      </c>
      <c r="G243">
        <v>591428</v>
      </c>
      <c r="H243">
        <v>384630</v>
      </c>
      <c r="I243">
        <v>23719</v>
      </c>
      <c r="J243">
        <v>7704</v>
      </c>
      <c r="K243">
        <v>6953</v>
      </c>
      <c r="L243">
        <v>6547</v>
      </c>
      <c r="M243">
        <v>4622</v>
      </c>
      <c r="N243">
        <v>4587</v>
      </c>
      <c r="O243">
        <v>4237</v>
      </c>
      <c r="P243">
        <v>4128</v>
      </c>
      <c r="Q243">
        <v>3469</v>
      </c>
      <c r="R243">
        <v>3283</v>
      </c>
      <c r="S243">
        <v>2874</v>
      </c>
      <c r="T243">
        <v>2467</v>
      </c>
      <c r="U243">
        <v>2462</v>
      </c>
      <c r="V243">
        <v>2240</v>
      </c>
      <c r="W243">
        <v>1967</v>
      </c>
      <c r="X243">
        <v>1894</v>
      </c>
      <c r="Y243">
        <v>1821</v>
      </c>
      <c r="Z243">
        <v>1655</v>
      </c>
      <c r="AA243">
        <v>1342</v>
      </c>
      <c r="AB243">
        <v>1120</v>
      </c>
      <c r="AC243">
        <v>1110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1066259</v>
      </c>
    </row>
    <row r="244" spans="1:50" x14ac:dyDescent="0.2">
      <c r="A244" t="s">
        <v>13</v>
      </c>
      <c r="C244">
        <v>242</v>
      </c>
      <c r="D244">
        <v>28</v>
      </c>
      <c r="E244" t="s">
        <v>182</v>
      </c>
      <c r="F244">
        <v>2014</v>
      </c>
      <c r="G244">
        <v>520902</v>
      </c>
      <c r="H244">
        <v>358902</v>
      </c>
      <c r="I244">
        <v>37419</v>
      </c>
      <c r="J244">
        <v>11974</v>
      </c>
      <c r="K244">
        <v>6372</v>
      </c>
      <c r="L244">
        <v>6135</v>
      </c>
      <c r="M244">
        <v>5901</v>
      </c>
      <c r="N244">
        <v>3775</v>
      </c>
      <c r="O244">
        <v>2922</v>
      </c>
      <c r="P244">
        <v>2885</v>
      </c>
      <c r="Q244">
        <v>2646</v>
      </c>
      <c r="R244">
        <v>2520</v>
      </c>
      <c r="S244">
        <v>2123</v>
      </c>
      <c r="T244">
        <v>2019</v>
      </c>
      <c r="U244">
        <v>1795</v>
      </c>
      <c r="V244">
        <v>1581</v>
      </c>
      <c r="W244">
        <v>1572</v>
      </c>
      <c r="X244">
        <v>1530</v>
      </c>
      <c r="Y244">
        <v>1306</v>
      </c>
      <c r="Z244">
        <v>1238</v>
      </c>
      <c r="AA244">
        <v>1201</v>
      </c>
      <c r="AB244">
        <v>1038</v>
      </c>
      <c r="AC244">
        <v>978</v>
      </c>
      <c r="AD244">
        <v>934</v>
      </c>
      <c r="AE244">
        <v>893</v>
      </c>
      <c r="AF244">
        <v>880</v>
      </c>
      <c r="AG244">
        <v>878</v>
      </c>
      <c r="AH244">
        <v>614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982933</v>
      </c>
    </row>
    <row r="245" spans="1:50" x14ac:dyDescent="0.2">
      <c r="A245" t="s">
        <v>13</v>
      </c>
      <c r="C245">
        <v>243</v>
      </c>
      <c r="D245">
        <v>11</v>
      </c>
      <c r="E245" t="s">
        <v>328</v>
      </c>
      <c r="F245">
        <v>2014</v>
      </c>
      <c r="G245">
        <v>542784</v>
      </c>
      <c r="H245">
        <v>295165</v>
      </c>
      <c r="I245">
        <v>72599</v>
      </c>
      <c r="J245">
        <v>17724</v>
      </c>
      <c r="K245">
        <v>10897</v>
      </c>
      <c r="L245">
        <v>10267</v>
      </c>
      <c r="M245">
        <v>5578</v>
      </c>
      <c r="N245">
        <v>5177</v>
      </c>
      <c r="O245">
        <v>4067</v>
      </c>
      <c r="P245">
        <v>3900</v>
      </c>
      <c r="Q245">
        <v>2024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970182</v>
      </c>
    </row>
    <row r="246" spans="1:50" x14ac:dyDescent="0.2">
      <c r="A246" t="s">
        <v>13</v>
      </c>
      <c r="C246">
        <v>244</v>
      </c>
      <c r="D246">
        <v>16</v>
      </c>
      <c r="E246" t="s">
        <v>329</v>
      </c>
      <c r="F246">
        <v>2014</v>
      </c>
      <c r="G246">
        <v>494735</v>
      </c>
      <c r="H246">
        <v>307399</v>
      </c>
      <c r="I246">
        <v>63050</v>
      </c>
      <c r="J246">
        <v>20896</v>
      </c>
      <c r="K246">
        <v>17154</v>
      </c>
      <c r="L246">
        <v>9672</v>
      </c>
      <c r="M246">
        <v>8916</v>
      </c>
      <c r="N246">
        <v>3792</v>
      </c>
      <c r="O246">
        <v>3425</v>
      </c>
      <c r="P246">
        <v>1666</v>
      </c>
      <c r="Q246">
        <v>1580</v>
      </c>
      <c r="R246">
        <v>1253</v>
      </c>
      <c r="S246">
        <v>1204</v>
      </c>
      <c r="T246">
        <v>1121</v>
      </c>
      <c r="U246">
        <v>845</v>
      </c>
      <c r="V246">
        <v>697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937405</v>
      </c>
    </row>
    <row r="247" spans="1:50" x14ac:dyDescent="0.2">
      <c r="A247" t="s">
        <v>13</v>
      </c>
      <c r="C247">
        <v>245</v>
      </c>
      <c r="D247">
        <v>11</v>
      </c>
      <c r="E247" t="s">
        <v>330</v>
      </c>
      <c r="F247">
        <v>2014</v>
      </c>
      <c r="G247">
        <v>533201</v>
      </c>
      <c r="H247">
        <v>293681</v>
      </c>
      <c r="I247">
        <v>76890</v>
      </c>
      <c r="J247">
        <v>21797</v>
      </c>
      <c r="K247">
        <v>16182</v>
      </c>
      <c r="L247">
        <v>12974</v>
      </c>
      <c r="M247">
        <v>10742</v>
      </c>
      <c r="N247">
        <v>8176</v>
      </c>
      <c r="O247">
        <v>7957</v>
      </c>
      <c r="P247">
        <v>6691</v>
      </c>
      <c r="Q247">
        <v>4327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992618</v>
      </c>
    </row>
    <row r="248" spans="1:50" x14ac:dyDescent="0.2">
      <c r="A248" t="s">
        <v>13</v>
      </c>
      <c r="C248">
        <v>246</v>
      </c>
      <c r="D248">
        <v>14</v>
      </c>
      <c r="E248" t="s">
        <v>331</v>
      </c>
      <c r="F248">
        <v>2014</v>
      </c>
      <c r="G248">
        <v>411070</v>
      </c>
      <c r="H248">
        <v>301620</v>
      </c>
      <c r="I248">
        <v>93647</v>
      </c>
      <c r="J248">
        <v>14068</v>
      </c>
      <c r="K248">
        <v>13720</v>
      </c>
      <c r="L248">
        <v>11055</v>
      </c>
      <c r="M248">
        <v>9311</v>
      </c>
      <c r="N248">
        <v>5941</v>
      </c>
      <c r="O248">
        <v>4058</v>
      </c>
      <c r="P248">
        <v>3058</v>
      </c>
      <c r="Q248">
        <v>2435</v>
      </c>
      <c r="R248">
        <v>2126</v>
      </c>
      <c r="S248">
        <v>2120</v>
      </c>
      <c r="T248">
        <v>1376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875605</v>
      </c>
    </row>
    <row r="249" spans="1:50" x14ac:dyDescent="0.2">
      <c r="A249" t="s">
        <v>13</v>
      </c>
      <c r="C249">
        <v>247</v>
      </c>
      <c r="D249">
        <v>19</v>
      </c>
      <c r="E249" t="s">
        <v>332</v>
      </c>
      <c r="F249">
        <v>2014</v>
      </c>
      <c r="G249">
        <v>440892</v>
      </c>
      <c r="H249">
        <v>190143</v>
      </c>
      <c r="I249">
        <v>122349</v>
      </c>
      <c r="J249">
        <v>20347</v>
      </c>
      <c r="K249">
        <v>19643</v>
      </c>
      <c r="L249">
        <v>9185</v>
      </c>
      <c r="M249">
        <v>3531</v>
      </c>
      <c r="N249">
        <v>3047</v>
      </c>
      <c r="O249">
        <v>2467</v>
      </c>
      <c r="P249">
        <v>2096</v>
      </c>
      <c r="Q249">
        <v>1869</v>
      </c>
      <c r="R249">
        <v>1600</v>
      </c>
      <c r="S249">
        <v>1279</v>
      </c>
      <c r="T249">
        <v>1243</v>
      </c>
      <c r="U249">
        <v>1229</v>
      </c>
      <c r="V249">
        <v>1222</v>
      </c>
      <c r="W249">
        <v>788</v>
      </c>
      <c r="X249">
        <v>726</v>
      </c>
      <c r="Y249">
        <v>540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824196</v>
      </c>
    </row>
    <row r="250" spans="1:50" x14ac:dyDescent="0.2">
      <c r="A250" t="s">
        <v>13</v>
      </c>
      <c r="C250">
        <v>248</v>
      </c>
      <c r="D250">
        <v>27</v>
      </c>
      <c r="E250" t="s">
        <v>333</v>
      </c>
      <c r="F250">
        <v>2014</v>
      </c>
      <c r="G250">
        <v>595364</v>
      </c>
      <c r="H250">
        <v>314065</v>
      </c>
      <c r="I250">
        <v>48863</v>
      </c>
      <c r="J250">
        <v>41535</v>
      </c>
      <c r="K250">
        <v>13174</v>
      </c>
      <c r="L250">
        <v>10982</v>
      </c>
      <c r="M250">
        <v>4022</v>
      </c>
      <c r="N250">
        <v>2479</v>
      </c>
      <c r="O250">
        <v>2412</v>
      </c>
      <c r="P250">
        <v>2175</v>
      </c>
      <c r="Q250">
        <v>2141</v>
      </c>
      <c r="R250">
        <v>1891</v>
      </c>
      <c r="S250">
        <v>1865</v>
      </c>
      <c r="T250">
        <v>1681</v>
      </c>
      <c r="U250">
        <v>1549</v>
      </c>
      <c r="V250">
        <v>1402</v>
      </c>
      <c r="W250">
        <v>1196</v>
      </c>
      <c r="X250">
        <v>1066</v>
      </c>
      <c r="Y250">
        <v>918</v>
      </c>
      <c r="Z250">
        <v>905</v>
      </c>
      <c r="AA250">
        <v>891</v>
      </c>
      <c r="AB250">
        <v>705</v>
      </c>
      <c r="AC250">
        <v>650</v>
      </c>
      <c r="AD250">
        <v>641</v>
      </c>
      <c r="AE250">
        <v>636</v>
      </c>
      <c r="AF250">
        <v>493</v>
      </c>
      <c r="AG250">
        <v>488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1054189</v>
      </c>
    </row>
    <row r="251" spans="1:50" x14ac:dyDescent="0.2">
      <c r="A251" t="s">
        <v>13</v>
      </c>
      <c r="C251">
        <v>249</v>
      </c>
      <c r="D251">
        <v>22</v>
      </c>
      <c r="E251" t="s">
        <v>334</v>
      </c>
      <c r="F251">
        <v>2014</v>
      </c>
      <c r="G251">
        <v>664004</v>
      </c>
      <c r="H251">
        <v>217422</v>
      </c>
      <c r="I251">
        <v>32364</v>
      </c>
      <c r="J251">
        <v>8758</v>
      </c>
      <c r="K251">
        <v>5506</v>
      </c>
      <c r="L251">
        <v>5438</v>
      </c>
      <c r="M251">
        <v>2078</v>
      </c>
      <c r="N251">
        <v>1650</v>
      </c>
      <c r="O251">
        <v>1612</v>
      </c>
      <c r="P251">
        <v>1539</v>
      </c>
      <c r="Q251">
        <v>796</v>
      </c>
      <c r="R251">
        <v>768</v>
      </c>
      <c r="S251">
        <v>699</v>
      </c>
      <c r="T251">
        <v>653</v>
      </c>
      <c r="U251">
        <v>626</v>
      </c>
      <c r="V251">
        <v>556</v>
      </c>
      <c r="W251">
        <v>462</v>
      </c>
      <c r="X251">
        <v>394</v>
      </c>
      <c r="Y251">
        <v>331</v>
      </c>
      <c r="Z251">
        <v>327</v>
      </c>
      <c r="AA251">
        <v>301</v>
      </c>
      <c r="AB251">
        <v>278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946562</v>
      </c>
    </row>
    <row r="252" spans="1:50" x14ac:dyDescent="0.2">
      <c r="A252" t="s">
        <v>13</v>
      </c>
      <c r="C252">
        <v>250</v>
      </c>
      <c r="D252">
        <v>15</v>
      </c>
      <c r="E252" t="s">
        <v>335</v>
      </c>
      <c r="F252">
        <v>2014</v>
      </c>
      <c r="G252">
        <v>464820</v>
      </c>
      <c r="H252">
        <v>281792</v>
      </c>
      <c r="I252">
        <v>66088</v>
      </c>
      <c r="J252">
        <v>51860</v>
      </c>
      <c r="K252">
        <v>11009</v>
      </c>
      <c r="L252">
        <v>10275</v>
      </c>
      <c r="M252">
        <v>2006</v>
      </c>
      <c r="N252">
        <v>1530</v>
      </c>
      <c r="O252">
        <v>1366</v>
      </c>
      <c r="P252">
        <v>1082</v>
      </c>
      <c r="Q252">
        <v>1078</v>
      </c>
      <c r="R252">
        <v>888</v>
      </c>
      <c r="S252">
        <v>694</v>
      </c>
      <c r="T252">
        <v>515</v>
      </c>
      <c r="U252">
        <v>514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895517</v>
      </c>
    </row>
    <row r="253" spans="1:50" x14ac:dyDescent="0.2">
      <c r="A253" t="s">
        <v>13</v>
      </c>
      <c r="C253">
        <v>251</v>
      </c>
      <c r="D253">
        <v>20</v>
      </c>
      <c r="E253" t="s">
        <v>336</v>
      </c>
      <c r="F253">
        <v>2014</v>
      </c>
      <c r="G253">
        <v>525285</v>
      </c>
      <c r="H253">
        <v>208163</v>
      </c>
      <c r="I253">
        <v>76451</v>
      </c>
      <c r="J253">
        <v>17427</v>
      </c>
      <c r="K253">
        <v>8833</v>
      </c>
      <c r="L253">
        <v>7114</v>
      </c>
      <c r="M253">
        <v>2784</v>
      </c>
      <c r="N253">
        <v>2752</v>
      </c>
      <c r="O253">
        <v>2243</v>
      </c>
      <c r="P253">
        <v>1838</v>
      </c>
      <c r="Q253">
        <v>1359</v>
      </c>
      <c r="R253">
        <v>1325</v>
      </c>
      <c r="S253">
        <v>1308</v>
      </c>
      <c r="T253">
        <v>1012</v>
      </c>
      <c r="U253">
        <v>902</v>
      </c>
      <c r="V253">
        <v>881</v>
      </c>
      <c r="W253">
        <v>626</v>
      </c>
      <c r="X253">
        <v>621</v>
      </c>
      <c r="Y253">
        <v>468</v>
      </c>
      <c r="Z253">
        <v>369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861761</v>
      </c>
    </row>
    <row r="254" spans="1:50" x14ac:dyDescent="0.2">
      <c r="A254" t="s">
        <v>13</v>
      </c>
      <c r="C254">
        <v>252</v>
      </c>
      <c r="D254">
        <v>22</v>
      </c>
      <c r="E254" t="s">
        <v>337</v>
      </c>
      <c r="F254">
        <v>2014</v>
      </c>
      <c r="G254">
        <v>478535</v>
      </c>
      <c r="H254">
        <v>291764</v>
      </c>
      <c r="I254">
        <v>34824</v>
      </c>
      <c r="J254">
        <v>10128</v>
      </c>
      <c r="K254">
        <v>9873</v>
      </c>
      <c r="L254">
        <v>6937</v>
      </c>
      <c r="M254">
        <v>2099</v>
      </c>
      <c r="N254">
        <v>1380</v>
      </c>
      <c r="O254">
        <v>1261</v>
      </c>
      <c r="P254">
        <v>1022</v>
      </c>
      <c r="Q254">
        <v>872</v>
      </c>
      <c r="R254">
        <v>858</v>
      </c>
      <c r="S254">
        <v>787</v>
      </c>
      <c r="T254">
        <v>693</v>
      </c>
      <c r="U254">
        <v>657</v>
      </c>
      <c r="V254">
        <v>653</v>
      </c>
      <c r="W254">
        <v>626</v>
      </c>
      <c r="X254">
        <v>588</v>
      </c>
      <c r="Y254">
        <v>581</v>
      </c>
      <c r="Z254">
        <v>512</v>
      </c>
      <c r="AA254">
        <v>334</v>
      </c>
      <c r="AB254">
        <v>308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845292</v>
      </c>
    </row>
    <row r="255" spans="1:50" x14ac:dyDescent="0.2">
      <c r="A255" t="s">
        <v>13</v>
      </c>
      <c r="C255">
        <v>253</v>
      </c>
      <c r="D255">
        <v>22</v>
      </c>
      <c r="E255" t="s">
        <v>338</v>
      </c>
      <c r="F255">
        <v>2014</v>
      </c>
      <c r="G255">
        <v>381008</v>
      </c>
      <c r="H255">
        <v>242828</v>
      </c>
      <c r="I255">
        <v>73096</v>
      </c>
      <c r="J255">
        <v>27687</v>
      </c>
      <c r="K255">
        <v>14762</v>
      </c>
      <c r="L255">
        <v>9571</v>
      </c>
      <c r="M255">
        <v>5573</v>
      </c>
      <c r="N255">
        <v>1588</v>
      </c>
      <c r="O255">
        <v>1430</v>
      </c>
      <c r="P255">
        <v>1338</v>
      </c>
      <c r="Q255">
        <v>1212</v>
      </c>
      <c r="R255">
        <v>1183</v>
      </c>
      <c r="S255">
        <v>1083</v>
      </c>
      <c r="T255">
        <v>1016</v>
      </c>
      <c r="U255">
        <v>919</v>
      </c>
      <c r="V255">
        <v>918</v>
      </c>
      <c r="W255">
        <v>799</v>
      </c>
      <c r="X255">
        <v>686</v>
      </c>
      <c r="Y255">
        <v>545</v>
      </c>
      <c r="Z255">
        <v>514</v>
      </c>
      <c r="AA255">
        <v>453</v>
      </c>
      <c r="AB255">
        <v>418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768627</v>
      </c>
    </row>
    <row r="256" spans="1:50" x14ac:dyDescent="0.2">
      <c r="A256" t="s">
        <v>13</v>
      </c>
      <c r="C256">
        <v>254</v>
      </c>
      <c r="D256">
        <v>21</v>
      </c>
      <c r="E256" t="s">
        <v>339</v>
      </c>
      <c r="F256">
        <v>2014</v>
      </c>
      <c r="G256">
        <v>374609</v>
      </c>
      <c r="H256">
        <v>246045</v>
      </c>
      <c r="I256">
        <v>84773</v>
      </c>
      <c r="J256">
        <v>40298</v>
      </c>
      <c r="K256">
        <v>9573</v>
      </c>
      <c r="L256">
        <v>6897</v>
      </c>
      <c r="M256">
        <v>6664</v>
      </c>
      <c r="N256">
        <v>1324</v>
      </c>
      <c r="O256">
        <v>1266</v>
      </c>
      <c r="P256">
        <v>1077</v>
      </c>
      <c r="Q256">
        <v>1059</v>
      </c>
      <c r="R256">
        <v>917</v>
      </c>
      <c r="S256">
        <v>764</v>
      </c>
      <c r="T256">
        <v>701</v>
      </c>
      <c r="U256">
        <v>677</v>
      </c>
      <c r="V256">
        <v>674</v>
      </c>
      <c r="W256">
        <v>595</v>
      </c>
      <c r="X256">
        <v>559</v>
      </c>
      <c r="Y256">
        <v>455</v>
      </c>
      <c r="Z256">
        <v>414</v>
      </c>
      <c r="AA256">
        <v>400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779741</v>
      </c>
    </row>
    <row r="257" spans="1:50" x14ac:dyDescent="0.2">
      <c r="A257" t="s">
        <v>13</v>
      </c>
      <c r="C257">
        <v>255</v>
      </c>
      <c r="D257">
        <v>11</v>
      </c>
      <c r="E257" t="s">
        <v>340</v>
      </c>
      <c r="F257">
        <v>2014</v>
      </c>
      <c r="G257">
        <v>396178</v>
      </c>
      <c r="H257">
        <v>394068</v>
      </c>
      <c r="I257">
        <v>129730</v>
      </c>
      <c r="J257">
        <v>20362</v>
      </c>
      <c r="K257">
        <v>10510</v>
      </c>
      <c r="L257">
        <v>9952</v>
      </c>
      <c r="M257">
        <v>9849</v>
      </c>
      <c r="N257">
        <v>6759</v>
      </c>
      <c r="O257">
        <v>4287</v>
      </c>
      <c r="P257">
        <v>3308</v>
      </c>
      <c r="Q257">
        <v>2763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987766</v>
      </c>
    </row>
    <row r="258" spans="1:50" x14ac:dyDescent="0.2">
      <c r="A258" t="s">
        <v>13</v>
      </c>
      <c r="C258">
        <v>256</v>
      </c>
      <c r="D258">
        <v>20</v>
      </c>
      <c r="E258" t="s">
        <v>341</v>
      </c>
      <c r="F258">
        <v>2014</v>
      </c>
      <c r="G258">
        <v>512226</v>
      </c>
      <c r="H258">
        <v>354829</v>
      </c>
      <c r="I258">
        <v>182293</v>
      </c>
      <c r="J258">
        <v>30566</v>
      </c>
      <c r="K258">
        <v>25982</v>
      </c>
      <c r="L258">
        <v>11259</v>
      </c>
      <c r="M258">
        <v>11186</v>
      </c>
      <c r="N258">
        <v>8940</v>
      </c>
      <c r="O258">
        <v>8765</v>
      </c>
      <c r="P258">
        <v>4311</v>
      </c>
      <c r="Q258">
        <v>4276</v>
      </c>
      <c r="R258">
        <v>3429</v>
      </c>
      <c r="S258">
        <v>2911</v>
      </c>
      <c r="T258">
        <v>2536</v>
      </c>
      <c r="U258">
        <v>2336</v>
      </c>
      <c r="V258">
        <v>2024</v>
      </c>
      <c r="W258">
        <v>2016</v>
      </c>
      <c r="X258">
        <v>1765</v>
      </c>
      <c r="Y258">
        <v>1600</v>
      </c>
      <c r="Z258">
        <v>1085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1174335</v>
      </c>
    </row>
    <row r="259" spans="1:50" x14ac:dyDescent="0.2">
      <c r="A259" t="s">
        <v>13</v>
      </c>
      <c r="C259">
        <v>257</v>
      </c>
      <c r="D259">
        <v>30</v>
      </c>
      <c r="E259" t="s">
        <v>342</v>
      </c>
      <c r="F259">
        <v>2014</v>
      </c>
      <c r="G259">
        <v>569825</v>
      </c>
      <c r="H259">
        <v>254056</v>
      </c>
      <c r="I259">
        <v>93502</v>
      </c>
      <c r="J259">
        <v>28657</v>
      </c>
      <c r="K259">
        <v>14727</v>
      </c>
      <c r="L259">
        <v>7222</v>
      </c>
      <c r="M259">
        <v>6438</v>
      </c>
      <c r="N259">
        <v>2259</v>
      </c>
      <c r="O259">
        <v>1886</v>
      </c>
      <c r="P259">
        <v>1797</v>
      </c>
      <c r="Q259">
        <v>1324</v>
      </c>
      <c r="R259">
        <v>1230</v>
      </c>
      <c r="S259">
        <v>1131</v>
      </c>
      <c r="T259">
        <v>1028</v>
      </c>
      <c r="U259">
        <v>868</v>
      </c>
      <c r="V259">
        <v>840</v>
      </c>
      <c r="W259">
        <v>693</v>
      </c>
      <c r="X259">
        <v>590</v>
      </c>
      <c r="Y259">
        <v>586</v>
      </c>
      <c r="Z259">
        <v>565</v>
      </c>
      <c r="AA259">
        <v>512</v>
      </c>
      <c r="AB259">
        <v>494</v>
      </c>
      <c r="AC259">
        <v>477</v>
      </c>
      <c r="AD259">
        <v>455</v>
      </c>
      <c r="AE259">
        <v>380</v>
      </c>
      <c r="AF259">
        <v>378</v>
      </c>
      <c r="AG259">
        <v>359</v>
      </c>
      <c r="AH259">
        <v>353</v>
      </c>
      <c r="AI259">
        <v>343</v>
      </c>
      <c r="AJ259">
        <v>303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993278</v>
      </c>
    </row>
    <row r="260" spans="1:50" x14ac:dyDescent="0.2">
      <c r="A260" t="s">
        <v>13</v>
      </c>
      <c r="C260">
        <v>258</v>
      </c>
      <c r="D260">
        <v>10</v>
      </c>
      <c r="E260" t="s">
        <v>343</v>
      </c>
      <c r="F260">
        <v>2014</v>
      </c>
      <c r="G260">
        <v>521562</v>
      </c>
      <c r="H260">
        <v>451843</v>
      </c>
      <c r="I260">
        <v>26396</v>
      </c>
      <c r="J260">
        <v>24908</v>
      </c>
      <c r="K260">
        <v>14216</v>
      </c>
      <c r="L260">
        <v>8811</v>
      </c>
      <c r="M260">
        <v>7845</v>
      </c>
      <c r="N260">
        <v>4739</v>
      </c>
      <c r="O260">
        <v>3345</v>
      </c>
      <c r="P260">
        <v>2891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1066556</v>
      </c>
    </row>
    <row r="261" spans="1:50" x14ac:dyDescent="0.2">
      <c r="A261" t="s">
        <v>13</v>
      </c>
      <c r="C261">
        <v>259</v>
      </c>
      <c r="D261">
        <v>15</v>
      </c>
      <c r="E261" t="s">
        <v>344</v>
      </c>
      <c r="F261">
        <v>2014</v>
      </c>
      <c r="G261">
        <v>643415</v>
      </c>
      <c r="H261">
        <v>341601</v>
      </c>
      <c r="I261">
        <v>36448</v>
      </c>
      <c r="J261">
        <v>19783</v>
      </c>
      <c r="K261">
        <v>16663</v>
      </c>
      <c r="L261">
        <v>11995</v>
      </c>
      <c r="M261">
        <v>3850</v>
      </c>
      <c r="N261">
        <v>3258</v>
      </c>
      <c r="O261">
        <v>2433</v>
      </c>
      <c r="P261">
        <v>2118</v>
      </c>
      <c r="Q261">
        <v>1933</v>
      </c>
      <c r="R261">
        <v>1906</v>
      </c>
      <c r="S261">
        <v>1792</v>
      </c>
      <c r="T261">
        <v>1174</v>
      </c>
      <c r="U261">
        <v>1137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1089506</v>
      </c>
    </row>
    <row r="262" spans="1:50" x14ac:dyDescent="0.2">
      <c r="A262" t="s">
        <v>13</v>
      </c>
      <c r="C262">
        <v>260</v>
      </c>
      <c r="D262">
        <v>14</v>
      </c>
      <c r="E262" t="s">
        <v>345</v>
      </c>
      <c r="F262">
        <v>2014</v>
      </c>
      <c r="G262">
        <v>605185</v>
      </c>
      <c r="H262">
        <v>396063</v>
      </c>
      <c r="I262">
        <v>12683</v>
      </c>
      <c r="J262">
        <v>8386</v>
      </c>
      <c r="K262">
        <v>7473</v>
      </c>
      <c r="L262">
        <v>7120</v>
      </c>
      <c r="M262">
        <v>6003</v>
      </c>
      <c r="N262">
        <v>5649</v>
      </c>
      <c r="O262">
        <v>3497</v>
      </c>
      <c r="P262">
        <v>3086</v>
      </c>
      <c r="Q262">
        <v>2525</v>
      </c>
      <c r="R262">
        <v>2202</v>
      </c>
      <c r="S262">
        <v>1385</v>
      </c>
      <c r="T262">
        <v>1061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1062318</v>
      </c>
    </row>
    <row r="263" spans="1:50" x14ac:dyDescent="0.2">
      <c r="A263" t="s">
        <v>13</v>
      </c>
      <c r="C263">
        <v>261</v>
      </c>
      <c r="D263">
        <v>15</v>
      </c>
      <c r="E263" t="s">
        <v>346</v>
      </c>
      <c r="F263">
        <v>2014</v>
      </c>
      <c r="G263">
        <v>532936</v>
      </c>
      <c r="H263">
        <v>333014</v>
      </c>
      <c r="I263">
        <v>11580</v>
      </c>
      <c r="J263">
        <v>10381</v>
      </c>
      <c r="K263">
        <v>9879</v>
      </c>
      <c r="L263">
        <v>9296</v>
      </c>
      <c r="M263">
        <v>4728</v>
      </c>
      <c r="N263">
        <v>4319</v>
      </c>
      <c r="O263">
        <v>3193</v>
      </c>
      <c r="P263">
        <v>2954</v>
      </c>
      <c r="Q263">
        <v>2874</v>
      </c>
      <c r="R263">
        <v>2334</v>
      </c>
      <c r="S263">
        <v>2229</v>
      </c>
      <c r="T263">
        <v>1499</v>
      </c>
      <c r="U263">
        <v>1429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932645</v>
      </c>
    </row>
    <row r="264" spans="1:50" x14ac:dyDescent="0.2">
      <c r="A264" t="s">
        <v>13</v>
      </c>
      <c r="C264">
        <v>262</v>
      </c>
      <c r="D264">
        <v>35</v>
      </c>
      <c r="E264" t="s">
        <v>347</v>
      </c>
      <c r="F264">
        <v>2014</v>
      </c>
      <c r="G264">
        <v>635995</v>
      </c>
      <c r="H264">
        <v>499541</v>
      </c>
      <c r="I264">
        <v>14166</v>
      </c>
      <c r="J264">
        <v>8634</v>
      </c>
      <c r="K264">
        <v>5383</v>
      </c>
      <c r="L264">
        <v>5357</v>
      </c>
      <c r="M264">
        <v>4281</v>
      </c>
      <c r="N264">
        <v>3758</v>
      </c>
      <c r="O264">
        <v>3732</v>
      </c>
      <c r="P264">
        <v>3617</v>
      </c>
      <c r="Q264">
        <v>3264</v>
      </c>
      <c r="R264">
        <v>3247</v>
      </c>
      <c r="S264">
        <v>3163</v>
      </c>
      <c r="T264">
        <v>3040</v>
      </c>
      <c r="U264">
        <v>2797</v>
      </c>
      <c r="V264">
        <v>2698</v>
      </c>
      <c r="W264">
        <v>2482</v>
      </c>
      <c r="X264">
        <v>2323</v>
      </c>
      <c r="Y264">
        <v>1930</v>
      </c>
      <c r="Z264">
        <v>1734</v>
      </c>
      <c r="AA264">
        <v>1733</v>
      </c>
      <c r="AB264">
        <v>1628</v>
      </c>
      <c r="AC264">
        <v>1584</v>
      </c>
      <c r="AD264">
        <v>1533</v>
      </c>
      <c r="AE264">
        <v>1270</v>
      </c>
      <c r="AF264">
        <v>1264</v>
      </c>
      <c r="AG264">
        <v>1162</v>
      </c>
      <c r="AH264">
        <v>1122</v>
      </c>
      <c r="AI264">
        <v>1075</v>
      </c>
      <c r="AJ264">
        <v>1065</v>
      </c>
      <c r="AK264">
        <v>1036</v>
      </c>
      <c r="AL264">
        <v>1018</v>
      </c>
      <c r="AM264">
        <v>944</v>
      </c>
      <c r="AN264">
        <v>931</v>
      </c>
      <c r="AO264">
        <v>848</v>
      </c>
      <c r="AP264">
        <v>846</v>
      </c>
      <c r="AQ264">
        <v>713</v>
      </c>
      <c r="AR264">
        <v>520</v>
      </c>
      <c r="AS264">
        <v>452</v>
      </c>
      <c r="AT264">
        <v>314</v>
      </c>
      <c r="AU264">
        <v>0</v>
      </c>
      <c r="AV264">
        <v>0</v>
      </c>
      <c r="AW264">
        <v>0</v>
      </c>
      <c r="AX264">
        <v>1232200</v>
      </c>
    </row>
    <row r="265" spans="1:50" x14ac:dyDescent="0.2">
      <c r="A265" t="s">
        <v>13</v>
      </c>
      <c r="C265">
        <v>263</v>
      </c>
      <c r="D265">
        <v>28</v>
      </c>
      <c r="E265" t="s">
        <v>348</v>
      </c>
      <c r="F265">
        <v>2014</v>
      </c>
      <c r="G265">
        <v>607699</v>
      </c>
      <c r="H265">
        <v>373374</v>
      </c>
      <c r="I265">
        <v>28322</v>
      </c>
      <c r="J265">
        <v>26868</v>
      </c>
      <c r="K265">
        <v>10210</v>
      </c>
      <c r="L265">
        <v>7245</v>
      </c>
      <c r="M265">
        <v>7169</v>
      </c>
      <c r="N265">
        <v>7038</v>
      </c>
      <c r="O265">
        <v>4613</v>
      </c>
      <c r="P265">
        <v>4240</v>
      </c>
      <c r="Q265">
        <v>4126</v>
      </c>
      <c r="R265">
        <v>4092</v>
      </c>
      <c r="S265">
        <v>3725</v>
      </c>
      <c r="T265">
        <v>3466</v>
      </c>
      <c r="U265">
        <v>3361</v>
      </c>
      <c r="V265">
        <v>2355</v>
      </c>
      <c r="W265">
        <v>2257</v>
      </c>
      <c r="X265">
        <v>2251</v>
      </c>
      <c r="Y265">
        <v>1978</v>
      </c>
      <c r="Z265">
        <v>1963</v>
      </c>
      <c r="AA265">
        <v>1701</v>
      </c>
      <c r="AB265">
        <v>1640</v>
      </c>
      <c r="AC265">
        <v>1528</v>
      </c>
      <c r="AD265">
        <v>1482</v>
      </c>
      <c r="AE265">
        <v>1429</v>
      </c>
      <c r="AF265">
        <v>1418</v>
      </c>
      <c r="AG265">
        <v>1313</v>
      </c>
      <c r="AH265">
        <v>1288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1118151</v>
      </c>
    </row>
    <row r="266" spans="1:50" x14ac:dyDescent="0.2">
      <c r="A266" t="s">
        <v>13</v>
      </c>
      <c r="C266">
        <v>264</v>
      </c>
      <c r="D266">
        <v>19</v>
      </c>
      <c r="E266" t="s">
        <v>349</v>
      </c>
      <c r="F266">
        <v>2014</v>
      </c>
      <c r="G266">
        <v>616509</v>
      </c>
      <c r="H266">
        <v>363114</v>
      </c>
      <c r="I266">
        <v>20029</v>
      </c>
      <c r="J266">
        <v>13996</v>
      </c>
      <c r="K266">
        <v>9829</v>
      </c>
      <c r="L266">
        <v>8678</v>
      </c>
      <c r="M266">
        <v>3401</v>
      </c>
      <c r="N266">
        <v>2830</v>
      </c>
      <c r="O266">
        <v>2724</v>
      </c>
      <c r="P266">
        <v>2052</v>
      </c>
      <c r="Q266">
        <v>2035</v>
      </c>
      <c r="R266">
        <v>1941</v>
      </c>
      <c r="S266">
        <v>1840</v>
      </c>
      <c r="T266">
        <v>1765</v>
      </c>
      <c r="U266">
        <v>1541</v>
      </c>
      <c r="V266">
        <v>1337</v>
      </c>
      <c r="W266">
        <v>1306</v>
      </c>
      <c r="X266">
        <v>1287</v>
      </c>
      <c r="Y266">
        <v>942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1057156</v>
      </c>
    </row>
    <row r="267" spans="1:50" x14ac:dyDescent="0.2">
      <c r="A267" t="s">
        <v>13</v>
      </c>
      <c r="C267">
        <v>265</v>
      </c>
      <c r="D267">
        <v>17</v>
      </c>
      <c r="E267" t="s">
        <v>350</v>
      </c>
      <c r="F267">
        <v>2014</v>
      </c>
      <c r="G267">
        <v>517879</v>
      </c>
      <c r="H267">
        <v>368205</v>
      </c>
      <c r="I267">
        <v>19041</v>
      </c>
      <c r="J267">
        <v>13778</v>
      </c>
      <c r="K267">
        <v>9261</v>
      </c>
      <c r="L267">
        <v>5487</v>
      </c>
      <c r="M267">
        <v>2706</v>
      </c>
      <c r="N267">
        <v>2458</v>
      </c>
      <c r="O267">
        <v>1683</v>
      </c>
      <c r="P267">
        <v>1654</v>
      </c>
      <c r="Q267">
        <v>1504</v>
      </c>
      <c r="R267">
        <v>1460</v>
      </c>
      <c r="S267">
        <v>1399</v>
      </c>
      <c r="T267">
        <v>1333</v>
      </c>
      <c r="U267">
        <v>1286</v>
      </c>
      <c r="V267">
        <v>1243</v>
      </c>
      <c r="W267">
        <v>824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951201</v>
      </c>
    </row>
    <row r="268" spans="1:50" x14ac:dyDescent="0.2">
      <c r="A268" t="s">
        <v>13</v>
      </c>
      <c r="C268">
        <v>266</v>
      </c>
      <c r="D268">
        <v>25</v>
      </c>
      <c r="E268" t="s">
        <v>351</v>
      </c>
      <c r="F268">
        <v>2014</v>
      </c>
      <c r="G268">
        <v>489989</v>
      </c>
      <c r="H268">
        <v>464645</v>
      </c>
      <c r="I268">
        <v>25187</v>
      </c>
      <c r="J268">
        <v>15790</v>
      </c>
      <c r="K268">
        <v>8853</v>
      </c>
      <c r="L268">
        <v>8829</v>
      </c>
      <c r="M268">
        <v>7160</v>
      </c>
      <c r="N268">
        <v>7115</v>
      </c>
      <c r="O268">
        <v>6886</v>
      </c>
      <c r="P268">
        <v>4625</v>
      </c>
      <c r="Q268">
        <v>4209</v>
      </c>
      <c r="R268">
        <v>4139</v>
      </c>
      <c r="S268">
        <v>3367</v>
      </c>
      <c r="T268">
        <v>3293</v>
      </c>
      <c r="U268">
        <v>3094</v>
      </c>
      <c r="V268">
        <v>2814</v>
      </c>
      <c r="W268">
        <v>2522</v>
      </c>
      <c r="X268">
        <v>2336</v>
      </c>
      <c r="Y268">
        <v>2301</v>
      </c>
      <c r="Z268">
        <v>2275</v>
      </c>
      <c r="AA268">
        <v>2189</v>
      </c>
      <c r="AB268">
        <v>2117</v>
      </c>
      <c r="AC268">
        <v>1989</v>
      </c>
      <c r="AD268">
        <v>1969</v>
      </c>
      <c r="AE268">
        <v>1926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1079619</v>
      </c>
    </row>
    <row r="269" spans="1:50" x14ac:dyDescent="0.2">
      <c r="A269" t="s">
        <v>13</v>
      </c>
      <c r="C269">
        <v>267</v>
      </c>
      <c r="D269">
        <v>17</v>
      </c>
      <c r="E269" t="s">
        <v>352</v>
      </c>
      <c r="F269">
        <v>2014</v>
      </c>
      <c r="G269">
        <v>611563</v>
      </c>
      <c r="H269">
        <v>372271</v>
      </c>
      <c r="I269">
        <v>11378</v>
      </c>
      <c r="J269">
        <v>8405</v>
      </c>
      <c r="K269">
        <v>8353</v>
      </c>
      <c r="L269">
        <v>6110</v>
      </c>
      <c r="M269">
        <v>4699</v>
      </c>
      <c r="N269">
        <v>4309</v>
      </c>
      <c r="O269">
        <v>0</v>
      </c>
      <c r="P269">
        <v>2481</v>
      </c>
      <c r="Q269">
        <v>2460</v>
      </c>
      <c r="R269">
        <v>1844</v>
      </c>
      <c r="S269">
        <v>1774</v>
      </c>
      <c r="T269">
        <v>1702</v>
      </c>
      <c r="U269">
        <v>1661</v>
      </c>
      <c r="V269">
        <v>1494</v>
      </c>
      <c r="W269">
        <v>997</v>
      </c>
      <c r="X269">
        <v>849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1042350</v>
      </c>
    </row>
    <row r="270" spans="1:50" x14ac:dyDescent="0.2">
      <c r="A270" t="s">
        <v>13</v>
      </c>
      <c r="C270">
        <v>268</v>
      </c>
      <c r="D270">
        <v>19</v>
      </c>
      <c r="E270" t="s">
        <v>353</v>
      </c>
      <c r="F270">
        <v>2014</v>
      </c>
      <c r="G270">
        <v>522531</v>
      </c>
      <c r="H270">
        <v>155937</v>
      </c>
      <c r="I270">
        <v>82489</v>
      </c>
      <c r="J270">
        <v>71808</v>
      </c>
      <c r="K270">
        <v>18215</v>
      </c>
      <c r="L270">
        <v>15073</v>
      </c>
      <c r="M270">
        <v>14523</v>
      </c>
      <c r="N270">
        <v>13760</v>
      </c>
      <c r="O270">
        <v>12270</v>
      </c>
      <c r="P270">
        <v>12122</v>
      </c>
      <c r="Q270">
        <v>11304</v>
      </c>
      <c r="R270">
        <v>10589</v>
      </c>
      <c r="S270">
        <v>10047</v>
      </c>
      <c r="T270">
        <v>9405</v>
      </c>
      <c r="U270">
        <v>4711</v>
      </c>
      <c r="V270">
        <v>3654</v>
      </c>
      <c r="W270">
        <v>3644</v>
      </c>
      <c r="X270">
        <v>2435</v>
      </c>
      <c r="Y270">
        <v>2164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976681</v>
      </c>
    </row>
    <row r="271" spans="1:50" x14ac:dyDescent="0.2">
      <c r="A271" t="s">
        <v>13</v>
      </c>
      <c r="C271">
        <v>269</v>
      </c>
      <c r="D271">
        <v>11</v>
      </c>
      <c r="E271" t="s">
        <v>354</v>
      </c>
      <c r="F271">
        <v>2014</v>
      </c>
      <c r="G271">
        <v>493088</v>
      </c>
      <c r="H271">
        <v>343037</v>
      </c>
      <c r="I271">
        <v>13088</v>
      </c>
      <c r="J271">
        <v>12700</v>
      </c>
      <c r="K271">
        <v>12393</v>
      </c>
      <c r="L271">
        <v>7328</v>
      </c>
      <c r="M271">
        <v>5999</v>
      </c>
      <c r="N271">
        <v>2904</v>
      </c>
      <c r="O271">
        <v>2332</v>
      </c>
      <c r="P271">
        <v>1992</v>
      </c>
      <c r="Q271">
        <v>1395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896256</v>
      </c>
    </row>
    <row r="272" spans="1:50" x14ac:dyDescent="0.2">
      <c r="A272" t="s">
        <v>13</v>
      </c>
      <c r="C272">
        <v>270</v>
      </c>
      <c r="D272">
        <v>16</v>
      </c>
      <c r="E272" t="s">
        <v>355</v>
      </c>
      <c r="F272">
        <v>2014</v>
      </c>
      <c r="G272">
        <v>607665</v>
      </c>
      <c r="H272">
        <v>574406</v>
      </c>
      <c r="I272">
        <v>13162</v>
      </c>
      <c r="J272">
        <v>10963</v>
      </c>
      <c r="K272">
        <v>9291</v>
      </c>
      <c r="L272">
        <v>8635</v>
      </c>
      <c r="M272">
        <v>7067</v>
      </c>
      <c r="N272">
        <v>7015</v>
      </c>
      <c r="O272">
        <v>6114</v>
      </c>
      <c r="P272">
        <v>5676</v>
      </c>
      <c r="Q272">
        <v>5495</v>
      </c>
      <c r="R272">
        <v>1415</v>
      </c>
      <c r="S272">
        <v>915</v>
      </c>
      <c r="T272">
        <v>898</v>
      </c>
      <c r="U272">
        <v>836</v>
      </c>
      <c r="V272">
        <v>736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1260289</v>
      </c>
    </row>
    <row r="273" spans="1:50" x14ac:dyDescent="0.2">
      <c r="A273" t="s">
        <v>13</v>
      </c>
      <c r="C273">
        <v>271</v>
      </c>
      <c r="D273">
        <v>14</v>
      </c>
      <c r="E273" t="s">
        <v>356</v>
      </c>
      <c r="F273">
        <v>2014</v>
      </c>
      <c r="G273">
        <v>640428</v>
      </c>
      <c r="H273">
        <v>462618</v>
      </c>
      <c r="I273">
        <v>25648</v>
      </c>
      <c r="J273">
        <v>11499</v>
      </c>
      <c r="K273">
        <v>10059</v>
      </c>
      <c r="L273">
        <v>9015</v>
      </c>
      <c r="M273">
        <v>6585</v>
      </c>
      <c r="N273">
        <v>5186</v>
      </c>
      <c r="O273">
        <v>4176</v>
      </c>
      <c r="P273">
        <v>3318</v>
      </c>
      <c r="Q273">
        <v>2999</v>
      </c>
      <c r="R273">
        <v>2637</v>
      </c>
      <c r="S273">
        <v>2361</v>
      </c>
      <c r="T273">
        <v>2342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1188871</v>
      </c>
    </row>
    <row r="274" spans="1:50" x14ac:dyDescent="0.2">
      <c r="A274" t="s">
        <v>14</v>
      </c>
      <c r="C274">
        <v>272</v>
      </c>
      <c r="D274">
        <v>9</v>
      </c>
      <c r="E274" t="s">
        <v>357</v>
      </c>
      <c r="F274">
        <v>2014</v>
      </c>
      <c r="G274">
        <v>292102</v>
      </c>
      <c r="H274">
        <v>197428</v>
      </c>
      <c r="I274">
        <v>92444</v>
      </c>
      <c r="J274">
        <v>39903</v>
      </c>
      <c r="K274">
        <v>7014</v>
      </c>
      <c r="L274">
        <v>5298</v>
      </c>
      <c r="M274">
        <v>3273</v>
      </c>
      <c r="N274">
        <v>2005</v>
      </c>
      <c r="O274">
        <v>1403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640870</v>
      </c>
    </row>
    <row r="275" spans="1:50" x14ac:dyDescent="0.2">
      <c r="A275" t="s">
        <v>14</v>
      </c>
      <c r="C275">
        <v>273</v>
      </c>
      <c r="D275">
        <v>11</v>
      </c>
      <c r="E275" t="s">
        <v>358</v>
      </c>
      <c r="F275">
        <v>2014</v>
      </c>
      <c r="G275">
        <v>296770</v>
      </c>
      <c r="H275">
        <v>281133</v>
      </c>
      <c r="I275">
        <v>75828</v>
      </c>
      <c r="J275">
        <v>61662</v>
      </c>
      <c r="K275">
        <v>34995</v>
      </c>
      <c r="L275">
        <v>12752</v>
      </c>
      <c r="M275">
        <v>4331</v>
      </c>
      <c r="N275">
        <v>2206</v>
      </c>
      <c r="O275">
        <v>1085</v>
      </c>
      <c r="P275">
        <v>603</v>
      </c>
      <c r="Q275">
        <v>401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771766</v>
      </c>
    </row>
    <row r="276" spans="1:50" x14ac:dyDescent="0.2">
      <c r="A276" t="s">
        <v>15</v>
      </c>
      <c r="C276">
        <v>274</v>
      </c>
      <c r="D276">
        <v>9</v>
      </c>
      <c r="E276" t="s">
        <v>359</v>
      </c>
      <c r="F276">
        <v>2014</v>
      </c>
      <c r="G276">
        <v>209340</v>
      </c>
      <c r="H276">
        <v>168961</v>
      </c>
      <c r="I276">
        <v>106817</v>
      </c>
      <c r="J276">
        <v>95979</v>
      </c>
      <c r="K276">
        <v>10960</v>
      </c>
      <c r="L276">
        <v>8815</v>
      </c>
      <c r="M276">
        <v>7418</v>
      </c>
      <c r="N276">
        <v>6605</v>
      </c>
      <c r="O276">
        <v>5092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619987</v>
      </c>
    </row>
    <row r="277" spans="1:50" x14ac:dyDescent="0.2">
      <c r="A277" t="s">
        <v>15</v>
      </c>
      <c r="C277">
        <v>275</v>
      </c>
      <c r="D277">
        <v>3</v>
      </c>
      <c r="E277" t="s">
        <v>360</v>
      </c>
      <c r="F277">
        <v>2014</v>
      </c>
      <c r="G277">
        <v>239301</v>
      </c>
      <c r="H277">
        <v>199585</v>
      </c>
      <c r="I277">
        <v>19185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458071</v>
      </c>
    </row>
    <row r="278" spans="1:50" x14ac:dyDescent="0.2">
      <c r="A278" t="s">
        <v>16</v>
      </c>
      <c r="C278">
        <v>276</v>
      </c>
      <c r="D278">
        <v>4</v>
      </c>
      <c r="E278" t="s">
        <v>16</v>
      </c>
      <c r="F278">
        <v>2014</v>
      </c>
      <c r="G278">
        <v>210485</v>
      </c>
      <c r="H278">
        <v>204331</v>
      </c>
      <c r="I278">
        <v>11890</v>
      </c>
      <c r="J278">
        <v>6495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433201</v>
      </c>
    </row>
    <row r="279" spans="1:50" x14ac:dyDescent="0.2">
      <c r="A279" t="s">
        <v>17</v>
      </c>
      <c r="C279">
        <v>277</v>
      </c>
      <c r="D279">
        <v>4</v>
      </c>
      <c r="E279" t="s">
        <v>17</v>
      </c>
      <c r="F279">
        <v>2014</v>
      </c>
      <c r="G279">
        <v>713372</v>
      </c>
      <c r="H279">
        <v>313147</v>
      </c>
      <c r="I279">
        <v>9695</v>
      </c>
      <c r="J279">
        <v>2696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1038910</v>
      </c>
    </row>
    <row r="280" spans="1:50" x14ac:dyDescent="0.2">
      <c r="A280" t="s">
        <v>18</v>
      </c>
      <c r="C280">
        <v>278</v>
      </c>
      <c r="D280">
        <v>9</v>
      </c>
      <c r="E280" t="s">
        <v>361</v>
      </c>
      <c r="F280">
        <v>2014</v>
      </c>
      <c r="G280">
        <v>383230</v>
      </c>
      <c r="H280">
        <v>372052</v>
      </c>
      <c r="I280">
        <v>274610</v>
      </c>
      <c r="J280">
        <v>26216</v>
      </c>
      <c r="K280">
        <v>21100</v>
      </c>
      <c r="L280">
        <v>15672</v>
      </c>
      <c r="M280">
        <v>14500</v>
      </c>
      <c r="N280">
        <v>8009</v>
      </c>
      <c r="O280">
        <v>7912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1123301</v>
      </c>
    </row>
    <row r="281" spans="1:50" x14ac:dyDescent="0.2">
      <c r="A281" t="s">
        <v>18</v>
      </c>
      <c r="C281">
        <v>279</v>
      </c>
      <c r="D281">
        <v>13</v>
      </c>
      <c r="E281" t="s">
        <v>362</v>
      </c>
      <c r="F281">
        <v>2014</v>
      </c>
      <c r="G281">
        <v>340508</v>
      </c>
      <c r="H281">
        <v>321679</v>
      </c>
      <c r="I281">
        <v>269335</v>
      </c>
      <c r="J281">
        <v>15835</v>
      </c>
      <c r="K281">
        <v>9472</v>
      </c>
      <c r="L281">
        <v>9460</v>
      </c>
      <c r="M281">
        <v>9001</v>
      </c>
      <c r="N281">
        <v>8448</v>
      </c>
      <c r="O281">
        <v>7429</v>
      </c>
      <c r="P281">
        <v>7282</v>
      </c>
      <c r="Q281">
        <v>4408</v>
      </c>
      <c r="R281">
        <v>3951</v>
      </c>
      <c r="S281">
        <v>3903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1010711</v>
      </c>
    </row>
    <row r="282" spans="1:50" x14ac:dyDescent="0.2">
      <c r="A282" t="s">
        <v>18</v>
      </c>
      <c r="C282">
        <v>280</v>
      </c>
      <c r="D282">
        <v>12</v>
      </c>
      <c r="E282" t="s">
        <v>363</v>
      </c>
      <c r="F282">
        <v>2014</v>
      </c>
      <c r="G282">
        <v>358618</v>
      </c>
      <c r="H282">
        <v>328042</v>
      </c>
      <c r="I282">
        <v>242131</v>
      </c>
      <c r="J282">
        <v>13314</v>
      </c>
      <c r="K282">
        <v>12211</v>
      </c>
      <c r="L282">
        <v>7029</v>
      </c>
      <c r="M282">
        <v>4763</v>
      </c>
      <c r="N282">
        <v>4502</v>
      </c>
      <c r="O282">
        <v>4018</v>
      </c>
      <c r="P282">
        <v>4012</v>
      </c>
      <c r="Q282">
        <v>3110</v>
      </c>
      <c r="R282">
        <v>2559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984309</v>
      </c>
    </row>
    <row r="283" spans="1:50" x14ac:dyDescent="0.2">
      <c r="A283" t="s">
        <v>18</v>
      </c>
      <c r="C283">
        <v>281</v>
      </c>
      <c r="D283">
        <v>9</v>
      </c>
      <c r="E283" t="s">
        <v>364</v>
      </c>
      <c r="F283">
        <v>2014</v>
      </c>
      <c r="G283">
        <v>434471</v>
      </c>
      <c r="H283">
        <v>277154</v>
      </c>
      <c r="I283">
        <v>190531</v>
      </c>
      <c r="J283">
        <v>101999</v>
      </c>
      <c r="K283">
        <v>26065</v>
      </c>
      <c r="L283">
        <v>16420</v>
      </c>
      <c r="M283">
        <v>16299</v>
      </c>
      <c r="N283">
        <v>12236</v>
      </c>
      <c r="O283">
        <v>8694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1083869</v>
      </c>
    </row>
    <row r="284" spans="1:50" x14ac:dyDescent="0.2">
      <c r="A284" t="s">
        <v>18</v>
      </c>
      <c r="C284">
        <v>282</v>
      </c>
      <c r="D284">
        <v>10</v>
      </c>
      <c r="E284" t="s">
        <v>365</v>
      </c>
      <c r="F284">
        <v>2014</v>
      </c>
      <c r="G284">
        <v>393779</v>
      </c>
      <c r="H284">
        <v>270913</v>
      </c>
      <c r="I284">
        <v>172984</v>
      </c>
      <c r="J284">
        <v>142165</v>
      </c>
      <c r="K284">
        <v>23517</v>
      </c>
      <c r="L284">
        <v>14632</v>
      </c>
      <c r="M284">
        <v>12041</v>
      </c>
      <c r="N284">
        <v>8183</v>
      </c>
      <c r="O284">
        <v>8133</v>
      </c>
      <c r="P284">
        <v>7052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1053399</v>
      </c>
    </row>
    <row r="285" spans="1:50" x14ac:dyDescent="0.2">
      <c r="A285" t="s">
        <v>18</v>
      </c>
      <c r="C285">
        <v>283</v>
      </c>
      <c r="D285">
        <v>11</v>
      </c>
      <c r="E285" t="s">
        <v>366</v>
      </c>
      <c r="F285">
        <v>2014</v>
      </c>
      <c r="G285">
        <v>433768</v>
      </c>
      <c r="H285">
        <v>291943</v>
      </c>
      <c r="I285">
        <v>277517</v>
      </c>
      <c r="J285">
        <v>14538</v>
      </c>
      <c r="K285">
        <v>9856</v>
      </c>
      <c r="L285">
        <v>7716</v>
      </c>
      <c r="M285">
        <v>4529</v>
      </c>
      <c r="N285">
        <v>3240</v>
      </c>
      <c r="O285">
        <v>2664</v>
      </c>
      <c r="P285">
        <v>1856</v>
      </c>
      <c r="Q285">
        <v>1823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1049450</v>
      </c>
    </row>
    <row r="286" spans="1:50" x14ac:dyDescent="0.2">
      <c r="A286" t="s">
        <v>18</v>
      </c>
      <c r="C286">
        <v>284</v>
      </c>
      <c r="D286">
        <v>9</v>
      </c>
      <c r="E286" t="s">
        <v>367</v>
      </c>
      <c r="F286">
        <v>2014</v>
      </c>
      <c r="G286">
        <v>502338</v>
      </c>
      <c r="H286">
        <v>322979</v>
      </c>
      <c r="I286">
        <v>216617</v>
      </c>
      <c r="J286">
        <v>11930</v>
      </c>
      <c r="K286">
        <v>7607</v>
      </c>
      <c r="L286">
        <v>6750</v>
      </c>
      <c r="M286">
        <v>5961</v>
      </c>
      <c r="N286">
        <v>4518</v>
      </c>
      <c r="O286">
        <v>2639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1081339</v>
      </c>
    </row>
    <row r="287" spans="1:50" x14ac:dyDescent="0.2">
      <c r="A287" t="s">
        <v>18</v>
      </c>
      <c r="C287">
        <v>285</v>
      </c>
      <c r="D287">
        <v>10</v>
      </c>
      <c r="E287" t="s">
        <v>368</v>
      </c>
      <c r="F287">
        <v>2014</v>
      </c>
      <c r="G287">
        <v>541349</v>
      </c>
      <c r="H287">
        <v>221078</v>
      </c>
      <c r="I287">
        <v>150789</v>
      </c>
      <c r="J287">
        <v>29142</v>
      </c>
      <c r="K287">
        <v>8655</v>
      </c>
      <c r="L287">
        <v>8269</v>
      </c>
      <c r="M287">
        <v>8065</v>
      </c>
      <c r="N287">
        <v>6926</v>
      </c>
      <c r="O287">
        <v>3409</v>
      </c>
      <c r="P287">
        <v>2753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980435</v>
      </c>
    </row>
    <row r="288" spans="1:50" x14ac:dyDescent="0.2">
      <c r="A288" t="s">
        <v>18</v>
      </c>
      <c r="C288">
        <v>286</v>
      </c>
      <c r="D288">
        <v>13</v>
      </c>
      <c r="E288" t="s">
        <v>369</v>
      </c>
      <c r="F288">
        <v>2014</v>
      </c>
      <c r="G288">
        <v>453277</v>
      </c>
      <c r="H288">
        <v>315937</v>
      </c>
      <c r="I288">
        <v>213794</v>
      </c>
      <c r="J288">
        <v>13205</v>
      </c>
      <c r="K288">
        <v>8712</v>
      </c>
      <c r="L288">
        <v>7505</v>
      </c>
      <c r="M288">
        <v>6574</v>
      </c>
      <c r="N288">
        <v>5447</v>
      </c>
      <c r="O288">
        <v>5120</v>
      </c>
      <c r="P288">
        <v>4275</v>
      </c>
      <c r="Q288">
        <v>3918</v>
      </c>
      <c r="R288">
        <v>2298</v>
      </c>
      <c r="S288">
        <v>2039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1042101</v>
      </c>
    </row>
    <row r="289" spans="1:50" x14ac:dyDescent="0.2">
      <c r="A289" t="s">
        <v>18</v>
      </c>
      <c r="C289">
        <v>287</v>
      </c>
      <c r="D289">
        <v>9</v>
      </c>
      <c r="E289" t="s">
        <v>370</v>
      </c>
      <c r="F289">
        <v>2014</v>
      </c>
      <c r="G289">
        <v>453519</v>
      </c>
      <c r="H289">
        <v>349220</v>
      </c>
      <c r="I289">
        <v>277616</v>
      </c>
      <c r="J289">
        <v>24515</v>
      </c>
      <c r="K289">
        <v>21043</v>
      </c>
      <c r="L289">
        <v>14626</v>
      </c>
      <c r="M289">
        <v>11513</v>
      </c>
      <c r="N289">
        <v>9915</v>
      </c>
      <c r="O289">
        <v>8438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1170405</v>
      </c>
    </row>
    <row r="290" spans="1:50" x14ac:dyDescent="0.2">
      <c r="A290" t="s">
        <v>18</v>
      </c>
      <c r="C290">
        <v>288</v>
      </c>
      <c r="D290">
        <v>16</v>
      </c>
      <c r="E290" t="s">
        <v>371</v>
      </c>
      <c r="F290">
        <v>2014</v>
      </c>
      <c r="G290">
        <v>370871</v>
      </c>
      <c r="H290">
        <v>314524</v>
      </c>
      <c r="I290">
        <v>307967</v>
      </c>
      <c r="J290">
        <v>20880</v>
      </c>
      <c r="K290">
        <v>18869</v>
      </c>
      <c r="L290">
        <v>14115</v>
      </c>
      <c r="M290">
        <v>10839</v>
      </c>
      <c r="N290">
        <v>8698</v>
      </c>
      <c r="O290">
        <v>8600</v>
      </c>
      <c r="P290">
        <v>8299</v>
      </c>
      <c r="Q290">
        <v>7329</v>
      </c>
      <c r="R290">
        <v>6360</v>
      </c>
      <c r="S290">
        <v>5858</v>
      </c>
      <c r="T290">
        <v>5007</v>
      </c>
      <c r="U290">
        <v>4885</v>
      </c>
      <c r="V290">
        <v>4435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1117536</v>
      </c>
    </row>
    <row r="291" spans="1:50" x14ac:dyDescent="0.2">
      <c r="A291" t="s">
        <v>18</v>
      </c>
      <c r="C291">
        <v>289</v>
      </c>
      <c r="D291">
        <v>8</v>
      </c>
      <c r="E291" t="s">
        <v>372</v>
      </c>
      <c r="F291">
        <v>2014</v>
      </c>
      <c r="G291">
        <v>373887</v>
      </c>
      <c r="H291">
        <v>371845</v>
      </c>
      <c r="I291">
        <v>138430</v>
      </c>
      <c r="J291">
        <v>44408</v>
      </c>
      <c r="K291">
        <v>31707</v>
      </c>
      <c r="L291">
        <v>24832</v>
      </c>
      <c r="M291">
        <v>18675</v>
      </c>
      <c r="N291">
        <v>18388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1022172</v>
      </c>
    </row>
    <row r="292" spans="1:50" x14ac:dyDescent="0.2">
      <c r="A292" t="s">
        <v>18</v>
      </c>
      <c r="C292">
        <v>290</v>
      </c>
      <c r="D292">
        <v>9</v>
      </c>
      <c r="E292" t="s">
        <v>373</v>
      </c>
      <c r="F292">
        <v>2014</v>
      </c>
      <c r="G292">
        <v>421458</v>
      </c>
      <c r="H292">
        <v>240441</v>
      </c>
      <c r="I292">
        <v>108744</v>
      </c>
      <c r="J292">
        <v>20472</v>
      </c>
      <c r="K292">
        <v>14159</v>
      </c>
      <c r="L292">
        <v>11080</v>
      </c>
      <c r="M292">
        <v>9522</v>
      </c>
      <c r="N292">
        <v>7741</v>
      </c>
      <c r="O292">
        <v>5798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839415</v>
      </c>
    </row>
    <row r="293" spans="1:50" x14ac:dyDescent="0.2">
      <c r="A293" t="s">
        <v>18</v>
      </c>
      <c r="C293">
        <v>291</v>
      </c>
      <c r="D293">
        <v>11</v>
      </c>
      <c r="E293" t="s">
        <v>374</v>
      </c>
      <c r="F293">
        <v>2014</v>
      </c>
      <c r="G293">
        <v>526085</v>
      </c>
      <c r="H293">
        <v>219323</v>
      </c>
      <c r="I293">
        <v>146093</v>
      </c>
      <c r="J293">
        <v>58246</v>
      </c>
      <c r="K293">
        <v>8889</v>
      </c>
      <c r="L293">
        <v>5733</v>
      </c>
      <c r="M293">
        <v>4531</v>
      </c>
      <c r="N293">
        <v>3639</v>
      </c>
      <c r="O293">
        <v>2171</v>
      </c>
      <c r="P293">
        <v>2082</v>
      </c>
      <c r="Q293">
        <v>1812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978604</v>
      </c>
    </row>
    <row r="294" spans="1:50" x14ac:dyDescent="0.2">
      <c r="A294" t="s">
        <v>18</v>
      </c>
      <c r="C294">
        <v>292</v>
      </c>
      <c r="D294">
        <v>8</v>
      </c>
      <c r="E294" t="s">
        <v>375</v>
      </c>
      <c r="F294">
        <v>2014</v>
      </c>
      <c r="G294">
        <v>600023</v>
      </c>
      <c r="H294">
        <v>390723</v>
      </c>
      <c r="I294">
        <v>118653</v>
      </c>
      <c r="J294">
        <v>7596</v>
      </c>
      <c r="K294">
        <v>6192</v>
      </c>
      <c r="L294">
        <v>6185</v>
      </c>
      <c r="M294">
        <v>6019</v>
      </c>
      <c r="N294">
        <v>2216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1137607</v>
      </c>
    </row>
    <row r="295" spans="1:50" x14ac:dyDescent="0.2">
      <c r="A295" t="s">
        <v>18</v>
      </c>
      <c r="C295">
        <v>293</v>
      </c>
      <c r="D295">
        <v>8</v>
      </c>
      <c r="E295" t="s">
        <v>376</v>
      </c>
      <c r="F295">
        <v>2014</v>
      </c>
      <c r="G295">
        <v>624492</v>
      </c>
      <c r="H295">
        <v>348098</v>
      </c>
      <c r="I295">
        <v>117448</v>
      </c>
      <c r="J295">
        <v>18099</v>
      </c>
      <c r="K295">
        <v>7624</v>
      </c>
      <c r="L295">
        <v>6895</v>
      </c>
      <c r="M295">
        <v>5929</v>
      </c>
      <c r="N295">
        <v>3347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1131932</v>
      </c>
    </row>
    <row r="296" spans="1:50" x14ac:dyDescent="0.2">
      <c r="A296" t="s">
        <v>18</v>
      </c>
      <c r="C296">
        <v>294</v>
      </c>
      <c r="D296">
        <v>8</v>
      </c>
      <c r="E296" t="s">
        <v>377</v>
      </c>
      <c r="F296">
        <v>2014</v>
      </c>
      <c r="G296">
        <v>523161</v>
      </c>
      <c r="H296">
        <v>259800</v>
      </c>
      <c r="I296">
        <v>215763</v>
      </c>
      <c r="J296">
        <v>13190</v>
      </c>
      <c r="K296">
        <v>9150</v>
      </c>
      <c r="L296">
        <v>7094</v>
      </c>
      <c r="M296">
        <v>6969</v>
      </c>
      <c r="N296">
        <v>4262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1039389</v>
      </c>
    </row>
    <row r="297" spans="1:50" x14ac:dyDescent="0.2">
      <c r="A297" t="s">
        <v>18</v>
      </c>
      <c r="C297">
        <v>295</v>
      </c>
      <c r="D297">
        <v>12</v>
      </c>
      <c r="E297" t="s">
        <v>378</v>
      </c>
      <c r="F297">
        <v>2014</v>
      </c>
      <c r="G297">
        <v>439252</v>
      </c>
      <c r="H297">
        <v>249775</v>
      </c>
      <c r="I297">
        <v>145783</v>
      </c>
      <c r="J297">
        <v>29505</v>
      </c>
      <c r="K297">
        <v>8140</v>
      </c>
      <c r="L297">
        <v>7112</v>
      </c>
      <c r="M297">
        <v>3783</v>
      </c>
      <c r="N297">
        <v>3457</v>
      </c>
      <c r="O297">
        <v>1745</v>
      </c>
      <c r="P297">
        <v>1194</v>
      </c>
      <c r="Q297">
        <v>1128</v>
      </c>
      <c r="R297">
        <v>948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891822</v>
      </c>
    </row>
    <row r="298" spans="1:50" x14ac:dyDescent="0.2">
      <c r="A298" t="s">
        <v>18</v>
      </c>
      <c r="C298">
        <v>296</v>
      </c>
      <c r="D298">
        <v>10</v>
      </c>
      <c r="E298" t="s">
        <v>379</v>
      </c>
      <c r="F298">
        <v>2014</v>
      </c>
      <c r="G298">
        <v>541473</v>
      </c>
      <c r="H298">
        <v>229476</v>
      </c>
      <c r="I298">
        <v>67361</v>
      </c>
      <c r="J298">
        <v>15382</v>
      </c>
      <c r="K298">
        <v>11063</v>
      </c>
      <c r="L298">
        <v>9127</v>
      </c>
      <c r="M298">
        <v>7553</v>
      </c>
      <c r="N298">
        <v>5293</v>
      </c>
      <c r="O298">
        <v>5192</v>
      </c>
      <c r="P298">
        <v>4361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896281</v>
      </c>
    </row>
    <row r="299" spans="1:50" x14ac:dyDescent="0.2">
      <c r="A299" t="s">
        <v>18</v>
      </c>
      <c r="C299">
        <v>297</v>
      </c>
      <c r="D299">
        <v>12</v>
      </c>
      <c r="E299" t="s">
        <v>380</v>
      </c>
      <c r="F299">
        <v>2014</v>
      </c>
      <c r="G299">
        <v>398107</v>
      </c>
      <c r="H299">
        <v>270387</v>
      </c>
      <c r="I299">
        <v>158811</v>
      </c>
      <c r="J299">
        <v>35968</v>
      </c>
      <c r="K299">
        <v>12706</v>
      </c>
      <c r="L299">
        <v>8248</v>
      </c>
      <c r="M299">
        <v>4081</v>
      </c>
      <c r="N299">
        <v>3865</v>
      </c>
      <c r="O299">
        <v>3719</v>
      </c>
      <c r="P299">
        <v>3383</v>
      </c>
      <c r="Q299">
        <v>3314</v>
      </c>
      <c r="R299">
        <v>2773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905362</v>
      </c>
    </row>
    <row r="300" spans="1:50" x14ac:dyDescent="0.2">
      <c r="A300" t="s">
        <v>18</v>
      </c>
      <c r="C300">
        <v>298</v>
      </c>
      <c r="D300">
        <v>10</v>
      </c>
      <c r="E300" t="s">
        <v>381</v>
      </c>
      <c r="F300">
        <v>2014</v>
      </c>
      <c r="G300">
        <v>395109</v>
      </c>
      <c r="H300">
        <v>375781</v>
      </c>
      <c r="I300">
        <v>89788</v>
      </c>
      <c r="J300">
        <v>34957</v>
      </c>
      <c r="K300">
        <v>33232</v>
      </c>
      <c r="L300">
        <v>14854</v>
      </c>
      <c r="M300">
        <v>13861</v>
      </c>
      <c r="N300">
        <v>13343</v>
      </c>
      <c r="O300">
        <v>9609</v>
      </c>
      <c r="P300">
        <v>8910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989444</v>
      </c>
    </row>
    <row r="301" spans="1:50" x14ac:dyDescent="0.2">
      <c r="A301" t="s">
        <v>19</v>
      </c>
      <c r="C301">
        <v>299</v>
      </c>
      <c r="D301">
        <v>14</v>
      </c>
      <c r="E301" t="s">
        <v>382</v>
      </c>
      <c r="F301">
        <v>2014</v>
      </c>
      <c r="G301">
        <v>482255</v>
      </c>
      <c r="H301">
        <v>346190</v>
      </c>
      <c r="I301">
        <v>173376</v>
      </c>
      <c r="J301">
        <v>11839</v>
      </c>
      <c r="K301">
        <v>5621</v>
      </c>
      <c r="L301">
        <v>4625</v>
      </c>
      <c r="M301">
        <v>4057</v>
      </c>
      <c r="N301">
        <v>3645</v>
      </c>
      <c r="O301">
        <v>2875</v>
      </c>
      <c r="P301">
        <v>2124</v>
      </c>
      <c r="Q301">
        <v>1785</v>
      </c>
      <c r="R301">
        <v>1649</v>
      </c>
      <c r="S301">
        <v>1463</v>
      </c>
      <c r="T301">
        <v>1195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1042699</v>
      </c>
    </row>
    <row r="302" spans="1:50" x14ac:dyDescent="0.2">
      <c r="A302" t="s">
        <v>19</v>
      </c>
      <c r="C302">
        <v>300</v>
      </c>
      <c r="D302">
        <v>24</v>
      </c>
      <c r="E302" t="s">
        <v>383</v>
      </c>
      <c r="F302">
        <v>2014</v>
      </c>
      <c r="G302">
        <v>482876</v>
      </c>
      <c r="H302">
        <v>380106</v>
      </c>
      <c r="I302">
        <v>82633</v>
      </c>
      <c r="J302">
        <v>12902</v>
      </c>
      <c r="K302">
        <v>9023</v>
      </c>
      <c r="L302">
        <v>5870</v>
      </c>
      <c r="M302">
        <v>4350</v>
      </c>
      <c r="N302">
        <v>3294</v>
      </c>
      <c r="O302">
        <v>3083</v>
      </c>
      <c r="P302">
        <v>2878</v>
      </c>
      <c r="Q302">
        <v>2691</v>
      </c>
      <c r="R302">
        <v>2533</v>
      </c>
      <c r="S302">
        <v>2396</v>
      </c>
      <c r="T302">
        <v>2303</v>
      </c>
      <c r="U302">
        <v>2123</v>
      </c>
      <c r="V302">
        <v>1214</v>
      </c>
      <c r="W302">
        <v>1151</v>
      </c>
      <c r="X302">
        <v>1140</v>
      </c>
      <c r="Y302">
        <v>941</v>
      </c>
      <c r="Z302">
        <v>922</v>
      </c>
      <c r="AA302">
        <v>833</v>
      </c>
      <c r="AB302">
        <v>827</v>
      </c>
      <c r="AC302">
        <v>604</v>
      </c>
      <c r="AD302">
        <v>503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1007196</v>
      </c>
    </row>
    <row r="303" spans="1:50" x14ac:dyDescent="0.2">
      <c r="A303" t="s">
        <v>19</v>
      </c>
      <c r="C303">
        <v>301</v>
      </c>
      <c r="D303">
        <v>18</v>
      </c>
      <c r="E303" t="s">
        <v>384</v>
      </c>
      <c r="F303">
        <v>2014</v>
      </c>
      <c r="G303">
        <v>467332</v>
      </c>
      <c r="H303">
        <v>366763</v>
      </c>
      <c r="I303">
        <v>144521</v>
      </c>
      <c r="J303">
        <v>13990</v>
      </c>
      <c r="K303">
        <v>9307</v>
      </c>
      <c r="L303">
        <v>8491</v>
      </c>
      <c r="M303">
        <v>5624</v>
      </c>
      <c r="N303">
        <v>4329</v>
      </c>
      <c r="O303">
        <v>3804</v>
      </c>
      <c r="P303">
        <v>3282</v>
      </c>
      <c r="Q303">
        <v>3114</v>
      </c>
      <c r="R303">
        <v>2930</v>
      </c>
      <c r="S303">
        <v>1720</v>
      </c>
      <c r="T303">
        <v>1313</v>
      </c>
      <c r="U303">
        <v>1182</v>
      </c>
      <c r="V303">
        <v>1053</v>
      </c>
      <c r="W303">
        <v>962</v>
      </c>
      <c r="X303">
        <v>801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1040518</v>
      </c>
    </row>
    <row r="304" spans="1:50" x14ac:dyDescent="0.2">
      <c r="A304" t="s">
        <v>19</v>
      </c>
      <c r="C304">
        <v>302</v>
      </c>
      <c r="D304">
        <v>25</v>
      </c>
      <c r="E304" t="s">
        <v>385</v>
      </c>
      <c r="F304">
        <v>2014</v>
      </c>
      <c r="G304">
        <v>380479</v>
      </c>
      <c r="H304">
        <v>309498</v>
      </c>
      <c r="I304">
        <v>254121</v>
      </c>
      <c r="J304">
        <v>46914</v>
      </c>
      <c r="K304">
        <v>10074</v>
      </c>
      <c r="L304">
        <v>6250</v>
      </c>
      <c r="M304">
        <v>5436</v>
      </c>
      <c r="N304">
        <v>3497</v>
      </c>
      <c r="O304">
        <v>3265</v>
      </c>
      <c r="P304">
        <v>2458</v>
      </c>
      <c r="Q304">
        <v>2268</v>
      </c>
      <c r="R304">
        <v>2257</v>
      </c>
      <c r="S304">
        <v>1952</v>
      </c>
      <c r="T304">
        <v>1528</v>
      </c>
      <c r="U304">
        <v>1454</v>
      </c>
      <c r="V304">
        <v>1192</v>
      </c>
      <c r="W304">
        <v>1178</v>
      </c>
      <c r="X304">
        <v>1082</v>
      </c>
      <c r="Y304">
        <v>1044</v>
      </c>
      <c r="Z304">
        <v>953</v>
      </c>
      <c r="AA304">
        <v>933</v>
      </c>
      <c r="AB304">
        <v>779</v>
      </c>
      <c r="AC304">
        <v>741</v>
      </c>
      <c r="AD304">
        <v>717</v>
      </c>
      <c r="AE304">
        <v>692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1040762</v>
      </c>
    </row>
    <row r="305" spans="1:50" x14ac:dyDescent="0.2">
      <c r="A305" t="s">
        <v>19</v>
      </c>
      <c r="C305">
        <v>303</v>
      </c>
      <c r="D305">
        <v>18</v>
      </c>
      <c r="E305" t="s">
        <v>386</v>
      </c>
      <c r="F305">
        <v>2014</v>
      </c>
      <c r="G305">
        <v>346643</v>
      </c>
      <c r="H305">
        <v>333061</v>
      </c>
      <c r="I305">
        <v>213388</v>
      </c>
      <c r="J305">
        <v>40497</v>
      </c>
      <c r="K305">
        <v>5976</v>
      </c>
      <c r="L305">
        <v>3216</v>
      </c>
      <c r="M305">
        <v>2564</v>
      </c>
      <c r="N305">
        <v>2527</v>
      </c>
      <c r="O305">
        <v>2158</v>
      </c>
      <c r="P305">
        <v>1853</v>
      </c>
      <c r="Q305">
        <v>1689</v>
      </c>
      <c r="R305">
        <v>1488</v>
      </c>
      <c r="S305">
        <v>1446</v>
      </c>
      <c r="T305">
        <v>1230</v>
      </c>
      <c r="U305">
        <v>1062</v>
      </c>
      <c r="V305">
        <v>911</v>
      </c>
      <c r="W305">
        <v>889</v>
      </c>
      <c r="X305">
        <v>699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961297</v>
      </c>
    </row>
    <row r="306" spans="1:50" x14ac:dyDescent="0.2">
      <c r="A306" t="s">
        <v>19</v>
      </c>
      <c r="C306">
        <v>304</v>
      </c>
      <c r="D306">
        <v>19</v>
      </c>
      <c r="E306" t="s">
        <v>387</v>
      </c>
      <c r="F306">
        <v>2014</v>
      </c>
      <c r="G306">
        <v>347394</v>
      </c>
      <c r="H306">
        <v>323697</v>
      </c>
      <c r="I306">
        <v>306008</v>
      </c>
      <c r="J306">
        <v>69124</v>
      </c>
      <c r="K306">
        <v>10483</v>
      </c>
      <c r="L306">
        <v>5937</v>
      </c>
      <c r="M306">
        <v>4250</v>
      </c>
      <c r="N306">
        <v>3869</v>
      </c>
      <c r="O306">
        <v>2713</v>
      </c>
      <c r="P306">
        <v>1995</v>
      </c>
      <c r="Q306">
        <v>1943</v>
      </c>
      <c r="R306">
        <v>1706</v>
      </c>
      <c r="S306">
        <v>1427</v>
      </c>
      <c r="T306">
        <v>1423</v>
      </c>
      <c r="U306">
        <v>1307</v>
      </c>
      <c r="V306">
        <v>1010</v>
      </c>
      <c r="W306">
        <v>837</v>
      </c>
      <c r="X306">
        <v>722</v>
      </c>
      <c r="Y306">
        <v>718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1086563</v>
      </c>
    </row>
    <row r="307" spans="1:50" x14ac:dyDescent="0.2">
      <c r="A307" t="s">
        <v>19</v>
      </c>
      <c r="C307">
        <v>305</v>
      </c>
      <c r="D307">
        <v>23</v>
      </c>
      <c r="E307" t="s">
        <v>388</v>
      </c>
      <c r="F307">
        <v>2014</v>
      </c>
      <c r="G307">
        <v>300459</v>
      </c>
      <c r="H307">
        <v>280750</v>
      </c>
      <c r="I307">
        <v>256590</v>
      </c>
      <c r="J307">
        <v>210917</v>
      </c>
      <c r="K307">
        <v>8317</v>
      </c>
      <c r="L307">
        <v>4653</v>
      </c>
      <c r="M307">
        <v>4509</v>
      </c>
      <c r="N307">
        <v>4167</v>
      </c>
      <c r="O307">
        <v>3980</v>
      </c>
      <c r="P307">
        <v>3238</v>
      </c>
      <c r="Q307">
        <v>3220</v>
      </c>
      <c r="R307">
        <v>3144</v>
      </c>
      <c r="S307">
        <v>2925</v>
      </c>
      <c r="T307">
        <v>1984</v>
      </c>
      <c r="U307">
        <v>1934</v>
      </c>
      <c r="V307">
        <v>1519</v>
      </c>
      <c r="W307">
        <v>1483</v>
      </c>
      <c r="X307">
        <v>1286</v>
      </c>
      <c r="Y307">
        <v>1168</v>
      </c>
      <c r="Z307">
        <v>1111</v>
      </c>
      <c r="AA307">
        <v>1089</v>
      </c>
      <c r="AB307">
        <v>1028</v>
      </c>
      <c r="AC307">
        <v>986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1100457</v>
      </c>
    </row>
    <row r="308" spans="1:50" x14ac:dyDescent="0.2">
      <c r="A308" t="s">
        <v>19</v>
      </c>
      <c r="C308">
        <v>306</v>
      </c>
      <c r="D308">
        <v>16</v>
      </c>
      <c r="E308" t="s">
        <v>389</v>
      </c>
      <c r="F308">
        <v>2014</v>
      </c>
      <c r="G308">
        <v>367293</v>
      </c>
      <c r="H308">
        <v>313149</v>
      </c>
      <c r="I308">
        <v>312815</v>
      </c>
      <c r="J308">
        <v>12683</v>
      </c>
      <c r="K308">
        <v>4005</v>
      </c>
      <c r="L308">
        <v>3173</v>
      </c>
      <c r="M308">
        <v>2852</v>
      </c>
      <c r="N308">
        <v>2352</v>
      </c>
      <c r="O308">
        <v>2149</v>
      </c>
      <c r="P308">
        <v>2141</v>
      </c>
      <c r="Q308">
        <v>1930</v>
      </c>
      <c r="R308">
        <v>1733</v>
      </c>
      <c r="S308">
        <v>1679</v>
      </c>
      <c r="T308">
        <v>1266</v>
      </c>
      <c r="U308">
        <v>886</v>
      </c>
      <c r="V308">
        <v>848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1030954</v>
      </c>
    </row>
    <row r="309" spans="1:50" x14ac:dyDescent="0.2">
      <c r="A309" t="s">
        <v>19</v>
      </c>
      <c r="C309">
        <v>307</v>
      </c>
      <c r="D309">
        <v>20</v>
      </c>
      <c r="E309" t="s">
        <v>390</v>
      </c>
      <c r="F309">
        <v>2014</v>
      </c>
      <c r="G309">
        <v>450751</v>
      </c>
      <c r="H309">
        <v>278235</v>
      </c>
      <c r="I309">
        <v>251222</v>
      </c>
      <c r="J309">
        <v>14573</v>
      </c>
      <c r="K309">
        <v>8282</v>
      </c>
      <c r="L309">
        <v>3816</v>
      </c>
      <c r="M309">
        <v>3680</v>
      </c>
      <c r="N309">
        <v>2667</v>
      </c>
      <c r="O309">
        <v>2473</v>
      </c>
      <c r="P309">
        <v>2213</v>
      </c>
      <c r="Q309">
        <v>1726</v>
      </c>
      <c r="R309">
        <v>1693</v>
      </c>
      <c r="S309">
        <v>1623</v>
      </c>
      <c r="T309">
        <v>1605</v>
      </c>
      <c r="U309">
        <v>1531</v>
      </c>
      <c r="V309">
        <v>1512</v>
      </c>
      <c r="W309">
        <v>1358</v>
      </c>
      <c r="X309">
        <v>1159</v>
      </c>
      <c r="Y309">
        <v>1123</v>
      </c>
      <c r="Z309">
        <v>865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1032107</v>
      </c>
    </row>
    <row r="310" spans="1:50" x14ac:dyDescent="0.2">
      <c r="A310" t="s">
        <v>19</v>
      </c>
      <c r="C310">
        <v>308</v>
      </c>
      <c r="D310">
        <v>16</v>
      </c>
      <c r="E310" t="s">
        <v>391</v>
      </c>
      <c r="F310">
        <v>2014</v>
      </c>
      <c r="G310">
        <v>487932</v>
      </c>
      <c r="H310">
        <v>456512</v>
      </c>
      <c r="I310">
        <v>113412</v>
      </c>
      <c r="J310">
        <v>22274</v>
      </c>
      <c r="K310">
        <v>7685</v>
      </c>
      <c r="L310">
        <v>3655</v>
      </c>
      <c r="M310">
        <v>3311</v>
      </c>
      <c r="N310">
        <v>1896</v>
      </c>
      <c r="O310">
        <v>1759</v>
      </c>
      <c r="P310">
        <v>1546</v>
      </c>
      <c r="Q310">
        <v>1237</v>
      </c>
      <c r="R310">
        <v>1088</v>
      </c>
      <c r="S310">
        <v>976</v>
      </c>
      <c r="T310">
        <v>766</v>
      </c>
      <c r="U310">
        <v>682</v>
      </c>
      <c r="V310">
        <v>681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1105412</v>
      </c>
    </row>
    <row r="311" spans="1:50" x14ac:dyDescent="0.2">
      <c r="A311" t="s">
        <v>19</v>
      </c>
      <c r="C311">
        <v>309</v>
      </c>
      <c r="D311">
        <v>30</v>
      </c>
      <c r="E311" t="s">
        <v>392</v>
      </c>
      <c r="F311">
        <v>2014</v>
      </c>
      <c r="G311">
        <v>514727</v>
      </c>
      <c r="H311">
        <v>495332</v>
      </c>
      <c r="I311">
        <v>87901</v>
      </c>
      <c r="J311">
        <v>13732</v>
      </c>
      <c r="K311">
        <v>6626</v>
      </c>
      <c r="L311">
        <v>5984</v>
      </c>
      <c r="M311">
        <v>5936</v>
      </c>
      <c r="N311">
        <v>4701</v>
      </c>
      <c r="O311">
        <v>4618</v>
      </c>
      <c r="P311">
        <v>4610</v>
      </c>
      <c r="Q311">
        <v>4380</v>
      </c>
      <c r="R311">
        <v>2833</v>
      </c>
      <c r="S311">
        <v>2587</v>
      </c>
      <c r="T311">
        <v>2258</v>
      </c>
      <c r="U311">
        <v>2077</v>
      </c>
      <c r="V311">
        <v>1960</v>
      </c>
      <c r="W311">
        <v>1893</v>
      </c>
      <c r="X311">
        <v>1665</v>
      </c>
      <c r="Y311">
        <v>1487</v>
      </c>
      <c r="Z311">
        <v>1404</v>
      </c>
      <c r="AA311">
        <v>1386</v>
      </c>
      <c r="AB311">
        <v>1330</v>
      </c>
      <c r="AC311">
        <v>1248</v>
      </c>
      <c r="AD311">
        <v>1086</v>
      </c>
      <c r="AE311">
        <v>955</v>
      </c>
      <c r="AF311">
        <v>944</v>
      </c>
      <c r="AG311">
        <v>916</v>
      </c>
      <c r="AH311">
        <v>820</v>
      </c>
      <c r="AI311">
        <v>703</v>
      </c>
      <c r="AJ311">
        <v>668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1176767</v>
      </c>
    </row>
    <row r="312" spans="1:50" x14ac:dyDescent="0.2">
      <c r="A312" t="s">
        <v>19</v>
      </c>
      <c r="C312">
        <v>310</v>
      </c>
      <c r="D312">
        <v>22</v>
      </c>
      <c r="E312" t="s">
        <v>393</v>
      </c>
      <c r="F312">
        <v>2014</v>
      </c>
      <c r="G312">
        <v>533237</v>
      </c>
      <c r="H312">
        <v>321516</v>
      </c>
      <c r="I312">
        <v>181410</v>
      </c>
      <c r="J312">
        <v>8408</v>
      </c>
      <c r="K312">
        <v>6934</v>
      </c>
      <c r="L312">
        <v>6830</v>
      </c>
      <c r="M312">
        <v>5879</v>
      </c>
      <c r="N312">
        <v>5395</v>
      </c>
      <c r="O312">
        <v>4127</v>
      </c>
      <c r="P312">
        <v>3315</v>
      </c>
      <c r="Q312">
        <v>3290</v>
      </c>
      <c r="R312">
        <v>2746</v>
      </c>
      <c r="S312">
        <v>2334</v>
      </c>
      <c r="T312">
        <v>2261</v>
      </c>
      <c r="U312">
        <v>2188</v>
      </c>
      <c r="V312">
        <v>1854</v>
      </c>
      <c r="W312">
        <v>1601</v>
      </c>
      <c r="X312">
        <v>1556</v>
      </c>
      <c r="Y312">
        <v>1486</v>
      </c>
      <c r="Z312">
        <v>1233</v>
      </c>
      <c r="AA312">
        <v>1069</v>
      </c>
      <c r="AB312">
        <v>798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1099467</v>
      </c>
    </row>
    <row r="313" spans="1:50" x14ac:dyDescent="0.2">
      <c r="A313" t="s">
        <v>19</v>
      </c>
      <c r="C313">
        <v>311</v>
      </c>
      <c r="D313">
        <v>21</v>
      </c>
      <c r="E313" t="s">
        <v>394</v>
      </c>
      <c r="F313">
        <v>2014</v>
      </c>
      <c r="G313">
        <v>365671</v>
      </c>
      <c r="H313">
        <v>344729</v>
      </c>
      <c r="I313">
        <v>340109</v>
      </c>
      <c r="J313">
        <v>15313</v>
      </c>
      <c r="K313">
        <v>13014</v>
      </c>
      <c r="L313">
        <v>8537</v>
      </c>
      <c r="M313">
        <v>4915</v>
      </c>
      <c r="N313">
        <v>4089</v>
      </c>
      <c r="O313">
        <v>3008</v>
      </c>
      <c r="P313">
        <v>2773</v>
      </c>
      <c r="Q313">
        <v>2625</v>
      </c>
      <c r="R313">
        <v>2378</v>
      </c>
      <c r="S313">
        <v>2325</v>
      </c>
      <c r="T313">
        <v>2217</v>
      </c>
      <c r="U313">
        <v>2178</v>
      </c>
      <c r="V313">
        <v>1625</v>
      </c>
      <c r="W313">
        <v>1271</v>
      </c>
      <c r="X313">
        <v>1234</v>
      </c>
      <c r="Y313">
        <v>1177</v>
      </c>
      <c r="Z313">
        <v>936</v>
      </c>
      <c r="AA313">
        <v>809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1120933</v>
      </c>
    </row>
    <row r="314" spans="1:50" x14ac:dyDescent="0.2">
      <c r="A314" t="s">
        <v>20</v>
      </c>
      <c r="C314">
        <v>312</v>
      </c>
      <c r="D314">
        <v>18</v>
      </c>
      <c r="E314" t="s">
        <v>395</v>
      </c>
      <c r="F314">
        <v>2014</v>
      </c>
      <c r="G314">
        <v>658130</v>
      </c>
      <c r="H314">
        <v>366389</v>
      </c>
      <c r="I314">
        <v>106585</v>
      </c>
      <c r="J314">
        <v>40016</v>
      </c>
      <c r="K314">
        <v>14944</v>
      </c>
      <c r="L314">
        <v>11981</v>
      </c>
      <c r="M314">
        <v>8788</v>
      </c>
      <c r="N314">
        <v>6918</v>
      </c>
      <c r="O314">
        <v>6686</v>
      </c>
      <c r="P314">
        <v>5364</v>
      </c>
      <c r="Q314">
        <v>5232</v>
      </c>
      <c r="R314">
        <v>5025</v>
      </c>
      <c r="S314">
        <v>3924</v>
      </c>
      <c r="T314">
        <v>3750</v>
      </c>
      <c r="U314">
        <v>3729</v>
      </c>
      <c r="V314">
        <v>3395</v>
      </c>
      <c r="W314">
        <v>3007</v>
      </c>
      <c r="X314">
        <v>2943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1256806</v>
      </c>
    </row>
    <row r="315" spans="1:50" x14ac:dyDescent="0.2">
      <c r="A315" t="s">
        <v>20</v>
      </c>
      <c r="C315">
        <v>313</v>
      </c>
      <c r="D315">
        <v>9</v>
      </c>
      <c r="E315" t="s">
        <v>396</v>
      </c>
      <c r="F315">
        <v>2014</v>
      </c>
      <c r="G315">
        <v>584932</v>
      </c>
      <c r="H315">
        <v>276853</v>
      </c>
      <c r="I315">
        <v>16839</v>
      </c>
      <c r="J315">
        <v>14148</v>
      </c>
      <c r="K315">
        <v>13492</v>
      </c>
      <c r="L315">
        <v>11387</v>
      </c>
      <c r="M315">
        <v>5164</v>
      </c>
      <c r="N315">
        <v>4398</v>
      </c>
      <c r="O315">
        <v>2538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929751</v>
      </c>
    </row>
    <row r="316" spans="1:50" x14ac:dyDescent="0.2">
      <c r="A316" t="s">
        <v>20</v>
      </c>
      <c r="C316">
        <v>314</v>
      </c>
      <c r="D316">
        <v>13</v>
      </c>
      <c r="E316" t="s">
        <v>397</v>
      </c>
      <c r="F316">
        <v>2014</v>
      </c>
      <c r="G316">
        <v>595756</v>
      </c>
      <c r="H316">
        <v>301017</v>
      </c>
      <c r="I316">
        <v>176912</v>
      </c>
      <c r="J316">
        <v>13977</v>
      </c>
      <c r="K316">
        <v>11293</v>
      </c>
      <c r="L316">
        <v>10778</v>
      </c>
      <c r="M316">
        <v>4018</v>
      </c>
      <c r="N316">
        <v>3991</v>
      </c>
      <c r="O316">
        <v>3727</v>
      </c>
      <c r="P316">
        <v>2938</v>
      </c>
      <c r="Q316">
        <v>2330</v>
      </c>
      <c r="R316">
        <v>2313</v>
      </c>
      <c r="S316">
        <v>2054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1131104</v>
      </c>
    </row>
    <row r="317" spans="1:50" x14ac:dyDescent="0.2">
      <c r="A317" t="s">
        <v>20</v>
      </c>
      <c r="C317">
        <v>315</v>
      </c>
      <c r="D317">
        <v>13</v>
      </c>
      <c r="E317" t="s">
        <v>398</v>
      </c>
      <c r="F317">
        <v>2014</v>
      </c>
      <c r="G317">
        <v>488182</v>
      </c>
      <c r="H317">
        <v>254347</v>
      </c>
      <c r="I317">
        <v>206288</v>
      </c>
      <c r="J317">
        <v>11740</v>
      </c>
      <c r="K317">
        <v>10423</v>
      </c>
      <c r="L317">
        <v>10386</v>
      </c>
      <c r="M317">
        <v>8038</v>
      </c>
      <c r="N317">
        <v>5581</v>
      </c>
      <c r="O317">
        <v>2979</v>
      </c>
      <c r="P317">
        <v>2932</v>
      </c>
      <c r="Q317">
        <v>2506</v>
      </c>
      <c r="R317">
        <v>1885</v>
      </c>
      <c r="S317">
        <v>1178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1006465</v>
      </c>
    </row>
    <row r="318" spans="1:50" x14ac:dyDescent="0.2">
      <c r="A318" t="s">
        <v>20</v>
      </c>
      <c r="C318">
        <v>316</v>
      </c>
      <c r="D318">
        <v>16</v>
      </c>
      <c r="E318" t="s">
        <v>399</v>
      </c>
      <c r="F318">
        <v>2014</v>
      </c>
      <c r="G318">
        <v>499428</v>
      </c>
      <c r="H318">
        <v>260232</v>
      </c>
      <c r="I318">
        <v>188841</v>
      </c>
      <c r="J318">
        <v>53134</v>
      </c>
      <c r="K318">
        <v>15666</v>
      </c>
      <c r="L318">
        <v>10666</v>
      </c>
      <c r="M318">
        <v>7410</v>
      </c>
      <c r="N318">
        <v>7036</v>
      </c>
      <c r="O318">
        <v>5387</v>
      </c>
      <c r="P318">
        <v>4375</v>
      </c>
      <c r="Q318">
        <v>4112</v>
      </c>
      <c r="R318">
        <v>3633</v>
      </c>
      <c r="S318">
        <v>2169</v>
      </c>
      <c r="T318">
        <v>1635</v>
      </c>
      <c r="U318">
        <v>1058</v>
      </c>
      <c r="V318">
        <v>968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1065750</v>
      </c>
    </row>
    <row r="319" spans="1:50" x14ac:dyDescent="0.2">
      <c r="A319" t="s">
        <v>20</v>
      </c>
      <c r="C319">
        <v>317</v>
      </c>
      <c r="D319">
        <v>13</v>
      </c>
      <c r="E319" t="s">
        <v>400</v>
      </c>
      <c r="F319">
        <v>2014</v>
      </c>
      <c r="G319">
        <v>632930</v>
      </c>
      <c r="H319">
        <v>300034</v>
      </c>
      <c r="I319">
        <v>31617</v>
      </c>
      <c r="J319">
        <v>11533</v>
      </c>
      <c r="K319">
        <v>9480</v>
      </c>
      <c r="L319">
        <v>6917</v>
      </c>
      <c r="M319">
        <v>5774</v>
      </c>
      <c r="N319">
        <v>4520</v>
      </c>
      <c r="O319">
        <v>3722</v>
      </c>
      <c r="P319">
        <v>3047</v>
      </c>
      <c r="Q319">
        <v>1412</v>
      </c>
      <c r="R319">
        <v>1378</v>
      </c>
      <c r="S319">
        <v>1327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1013691</v>
      </c>
    </row>
    <row r="320" spans="1:50" x14ac:dyDescent="0.2">
      <c r="A320" t="s">
        <v>20</v>
      </c>
      <c r="C320">
        <v>318</v>
      </c>
      <c r="D320">
        <v>17</v>
      </c>
      <c r="E320" t="s">
        <v>401</v>
      </c>
      <c r="F320">
        <v>2014</v>
      </c>
      <c r="G320">
        <v>863358</v>
      </c>
      <c r="H320">
        <v>324013</v>
      </c>
      <c r="I320">
        <v>55118</v>
      </c>
      <c r="J320">
        <v>15597</v>
      </c>
      <c r="K320">
        <v>8345</v>
      </c>
      <c r="L320">
        <v>5193</v>
      </c>
      <c r="M320">
        <v>5020</v>
      </c>
      <c r="N320">
        <v>4856</v>
      </c>
      <c r="O320">
        <v>4599</v>
      </c>
      <c r="P320">
        <v>2072</v>
      </c>
      <c r="Q320">
        <v>1987</v>
      </c>
      <c r="R320">
        <v>1899</v>
      </c>
      <c r="S320">
        <v>1566</v>
      </c>
      <c r="T320">
        <v>1103</v>
      </c>
      <c r="U320">
        <v>893</v>
      </c>
      <c r="V320">
        <v>621</v>
      </c>
      <c r="W320">
        <v>566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1296806</v>
      </c>
    </row>
    <row r="321" spans="1:50" x14ac:dyDescent="0.2">
      <c r="A321" t="s">
        <v>20</v>
      </c>
      <c r="C321">
        <v>319</v>
      </c>
      <c r="D321">
        <v>20</v>
      </c>
      <c r="E321" t="s">
        <v>402</v>
      </c>
      <c r="F321">
        <v>2014</v>
      </c>
      <c r="G321">
        <v>642278</v>
      </c>
      <c r="H321">
        <v>358383</v>
      </c>
      <c r="I321">
        <v>19483</v>
      </c>
      <c r="J321">
        <v>8517</v>
      </c>
      <c r="K321">
        <v>3672</v>
      </c>
      <c r="L321">
        <v>3612</v>
      </c>
      <c r="M321">
        <v>3580</v>
      </c>
      <c r="N321">
        <v>3412</v>
      </c>
      <c r="O321">
        <v>3390</v>
      </c>
      <c r="P321">
        <v>2572</v>
      </c>
      <c r="Q321">
        <v>2512</v>
      </c>
      <c r="R321">
        <v>2160</v>
      </c>
      <c r="S321">
        <v>2104</v>
      </c>
      <c r="T321">
        <v>1845</v>
      </c>
      <c r="U321">
        <v>1227</v>
      </c>
      <c r="V321">
        <v>1187</v>
      </c>
      <c r="W321">
        <v>702</v>
      </c>
      <c r="X321">
        <v>662</v>
      </c>
      <c r="Y321">
        <v>566</v>
      </c>
      <c r="Z321">
        <v>441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1062305</v>
      </c>
    </row>
    <row r="322" spans="1:50" x14ac:dyDescent="0.2">
      <c r="A322" t="s">
        <v>20</v>
      </c>
      <c r="C322">
        <v>320</v>
      </c>
      <c r="D322">
        <v>13</v>
      </c>
      <c r="E322" t="s">
        <v>403</v>
      </c>
      <c r="F322">
        <v>2014</v>
      </c>
      <c r="G322">
        <v>579825</v>
      </c>
      <c r="H322">
        <v>334357</v>
      </c>
      <c r="I322">
        <v>22090</v>
      </c>
      <c r="J322">
        <v>7013</v>
      </c>
      <c r="K322">
        <v>5935</v>
      </c>
      <c r="L322">
        <v>3969</v>
      </c>
      <c r="M322">
        <v>2071</v>
      </c>
      <c r="N322">
        <v>1792</v>
      </c>
      <c r="O322">
        <v>1787</v>
      </c>
      <c r="P322">
        <v>1187</v>
      </c>
      <c r="Q322">
        <v>960</v>
      </c>
      <c r="R322">
        <v>835</v>
      </c>
      <c r="S322">
        <v>611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962432</v>
      </c>
    </row>
    <row r="323" spans="1:50" x14ac:dyDescent="0.2">
      <c r="A323" t="s">
        <v>20</v>
      </c>
      <c r="C323">
        <v>321</v>
      </c>
      <c r="D323">
        <v>15</v>
      </c>
      <c r="E323" t="s">
        <v>404</v>
      </c>
      <c r="F323">
        <v>2014</v>
      </c>
      <c r="G323">
        <v>402407</v>
      </c>
      <c r="H323">
        <v>375191</v>
      </c>
      <c r="I323">
        <v>25150</v>
      </c>
      <c r="J323">
        <v>9458</v>
      </c>
      <c r="K323">
        <v>7286</v>
      </c>
      <c r="L323">
        <v>5934</v>
      </c>
      <c r="M323">
        <v>4767</v>
      </c>
      <c r="N323">
        <v>3726</v>
      </c>
      <c r="O323">
        <v>3376</v>
      </c>
      <c r="P323">
        <v>3014</v>
      </c>
      <c r="Q323">
        <v>1629</v>
      </c>
      <c r="R323">
        <v>1385</v>
      </c>
      <c r="S323">
        <v>951</v>
      </c>
      <c r="T323">
        <v>922</v>
      </c>
      <c r="U323">
        <v>745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845941</v>
      </c>
    </row>
    <row r="324" spans="1:50" x14ac:dyDescent="0.2">
      <c r="A324" t="s">
        <v>20</v>
      </c>
      <c r="C324">
        <v>322</v>
      </c>
      <c r="D324">
        <v>15</v>
      </c>
      <c r="E324" t="s">
        <v>405</v>
      </c>
      <c r="F324">
        <v>2014</v>
      </c>
      <c r="G324">
        <v>315059</v>
      </c>
      <c r="H324">
        <v>269655</v>
      </c>
      <c r="I324">
        <v>181272</v>
      </c>
      <c r="J324">
        <v>82549</v>
      </c>
      <c r="K324">
        <v>20037</v>
      </c>
      <c r="L324">
        <v>16935</v>
      </c>
      <c r="M324">
        <v>15303</v>
      </c>
      <c r="N324">
        <v>8410</v>
      </c>
      <c r="O324">
        <v>5792</v>
      </c>
      <c r="P324">
        <v>4297</v>
      </c>
      <c r="Q324">
        <v>3202</v>
      </c>
      <c r="R324">
        <v>3072</v>
      </c>
      <c r="S324">
        <v>2357</v>
      </c>
      <c r="T324">
        <v>1635</v>
      </c>
      <c r="U324">
        <v>917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930492</v>
      </c>
    </row>
    <row r="325" spans="1:50" x14ac:dyDescent="0.2">
      <c r="A325" t="s">
        <v>20</v>
      </c>
      <c r="C325">
        <v>323</v>
      </c>
      <c r="D325">
        <v>23</v>
      </c>
      <c r="E325" t="s">
        <v>406</v>
      </c>
      <c r="F325">
        <v>2014</v>
      </c>
      <c r="G325">
        <v>548537</v>
      </c>
      <c r="H325">
        <v>413031</v>
      </c>
      <c r="I325">
        <v>14604</v>
      </c>
      <c r="J325">
        <v>10523</v>
      </c>
      <c r="K325">
        <v>10395</v>
      </c>
      <c r="L325">
        <v>7204</v>
      </c>
      <c r="M325">
        <v>6523</v>
      </c>
      <c r="N325">
        <v>6186</v>
      </c>
      <c r="O325">
        <v>3673</v>
      </c>
      <c r="P325">
        <v>3127</v>
      </c>
      <c r="Q325">
        <v>2668</v>
      </c>
      <c r="R325">
        <v>2363</v>
      </c>
      <c r="S325">
        <v>2210</v>
      </c>
      <c r="T325">
        <v>2151</v>
      </c>
      <c r="U325">
        <v>1925</v>
      </c>
      <c r="V325">
        <v>1726</v>
      </c>
      <c r="W325">
        <v>1616</v>
      </c>
      <c r="X325">
        <v>1105</v>
      </c>
      <c r="Y325">
        <v>1048</v>
      </c>
      <c r="Z325">
        <v>869</v>
      </c>
      <c r="AA325">
        <v>752</v>
      </c>
      <c r="AB325">
        <v>703</v>
      </c>
      <c r="AC325">
        <v>699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1043638</v>
      </c>
    </row>
    <row r="326" spans="1:50" x14ac:dyDescent="0.2">
      <c r="A326" t="s">
        <v>20</v>
      </c>
      <c r="C326">
        <v>324</v>
      </c>
      <c r="D326">
        <v>13</v>
      </c>
      <c r="E326" t="s">
        <v>407</v>
      </c>
      <c r="F326">
        <v>2014</v>
      </c>
      <c r="G326">
        <v>637874</v>
      </c>
      <c r="H326">
        <v>465891</v>
      </c>
      <c r="I326">
        <v>12546</v>
      </c>
      <c r="J326">
        <v>12149</v>
      </c>
      <c r="K326">
        <v>7974</v>
      </c>
      <c r="L326">
        <v>5184</v>
      </c>
      <c r="M326">
        <v>4970</v>
      </c>
      <c r="N326">
        <v>3518</v>
      </c>
      <c r="O326">
        <v>1869</v>
      </c>
      <c r="P326">
        <v>1374</v>
      </c>
      <c r="Q326">
        <v>1040</v>
      </c>
      <c r="R326">
        <v>1015</v>
      </c>
      <c r="S326">
        <v>910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1156314</v>
      </c>
    </row>
    <row r="327" spans="1:50" x14ac:dyDescent="0.2">
      <c r="A327" t="s">
        <v>20</v>
      </c>
      <c r="C327">
        <v>325</v>
      </c>
      <c r="D327">
        <v>14</v>
      </c>
      <c r="E327" t="s">
        <v>408</v>
      </c>
      <c r="F327">
        <v>2014</v>
      </c>
      <c r="G327">
        <v>414791</v>
      </c>
      <c r="H327">
        <v>339573</v>
      </c>
      <c r="I327">
        <v>159980</v>
      </c>
      <c r="J327">
        <v>15234</v>
      </c>
      <c r="K327">
        <v>12185</v>
      </c>
      <c r="L327">
        <v>11352</v>
      </c>
      <c r="M327">
        <v>11239</v>
      </c>
      <c r="N327">
        <v>8658</v>
      </c>
      <c r="O327">
        <v>7300</v>
      </c>
      <c r="P327">
        <v>5776</v>
      </c>
      <c r="Q327">
        <v>5251</v>
      </c>
      <c r="R327">
        <v>4372</v>
      </c>
      <c r="S327">
        <v>4332</v>
      </c>
      <c r="T327">
        <v>3976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1004019</v>
      </c>
    </row>
    <row r="328" spans="1:50" x14ac:dyDescent="0.2">
      <c r="A328" t="s">
        <v>20</v>
      </c>
      <c r="C328">
        <v>326</v>
      </c>
      <c r="D328">
        <v>14</v>
      </c>
      <c r="E328" t="s">
        <v>409</v>
      </c>
      <c r="F328">
        <v>2014</v>
      </c>
      <c r="G328">
        <v>711772</v>
      </c>
      <c r="H328">
        <v>312733</v>
      </c>
      <c r="I328">
        <v>17703</v>
      </c>
      <c r="J328">
        <v>16469</v>
      </c>
      <c r="K328">
        <v>7186</v>
      </c>
      <c r="L328">
        <v>5794</v>
      </c>
      <c r="M328">
        <v>5198</v>
      </c>
      <c r="N328">
        <v>5031</v>
      </c>
      <c r="O328">
        <v>3306</v>
      </c>
      <c r="P328">
        <v>2825</v>
      </c>
      <c r="Q328">
        <v>2358</v>
      </c>
      <c r="R328">
        <v>2058</v>
      </c>
      <c r="S328">
        <v>1890</v>
      </c>
      <c r="T328">
        <v>1264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1095587</v>
      </c>
    </row>
    <row r="329" spans="1:50" x14ac:dyDescent="0.2">
      <c r="A329" t="s">
        <v>20</v>
      </c>
      <c r="C329">
        <v>327</v>
      </c>
      <c r="D329">
        <v>14</v>
      </c>
      <c r="E329" t="s">
        <v>410</v>
      </c>
      <c r="F329">
        <v>2014</v>
      </c>
      <c r="G329">
        <v>713515</v>
      </c>
      <c r="H329">
        <v>303464</v>
      </c>
      <c r="I329">
        <v>15085</v>
      </c>
      <c r="J329">
        <v>13511</v>
      </c>
      <c r="K329">
        <v>8552</v>
      </c>
      <c r="L329">
        <v>7104</v>
      </c>
      <c r="M329">
        <v>4855</v>
      </c>
      <c r="N329">
        <v>3764</v>
      </c>
      <c r="O329">
        <v>2631</v>
      </c>
      <c r="P329">
        <v>2321</v>
      </c>
      <c r="Q329">
        <v>1206</v>
      </c>
      <c r="R329">
        <v>1041</v>
      </c>
      <c r="S329">
        <v>831</v>
      </c>
      <c r="T329">
        <v>718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1078598</v>
      </c>
    </row>
    <row r="330" spans="1:50" x14ac:dyDescent="0.2">
      <c r="A330" t="s">
        <v>20</v>
      </c>
      <c r="C330">
        <v>328</v>
      </c>
      <c r="D330">
        <v>12</v>
      </c>
      <c r="E330" t="s">
        <v>411</v>
      </c>
      <c r="F330">
        <v>2014</v>
      </c>
      <c r="G330">
        <v>488747</v>
      </c>
      <c r="H330">
        <v>401286</v>
      </c>
      <c r="I330">
        <v>220881</v>
      </c>
      <c r="J330">
        <v>17563</v>
      </c>
      <c r="K330">
        <v>15889</v>
      </c>
      <c r="L330">
        <v>14906</v>
      </c>
      <c r="M330">
        <v>13924</v>
      </c>
      <c r="N330">
        <v>12883</v>
      </c>
      <c r="O330">
        <v>12366</v>
      </c>
      <c r="P330">
        <v>7557</v>
      </c>
      <c r="Q330">
        <v>6737</v>
      </c>
      <c r="R330">
        <v>6380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1219119</v>
      </c>
    </row>
    <row r="331" spans="1:50" x14ac:dyDescent="0.2">
      <c r="A331" t="s">
        <v>20</v>
      </c>
      <c r="C331">
        <v>329</v>
      </c>
      <c r="D331">
        <v>17</v>
      </c>
      <c r="E331" t="s">
        <v>412</v>
      </c>
      <c r="F331">
        <v>2014</v>
      </c>
      <c r="G331">
        <v>580508</v>
      </c>
      <c r="H331">
        <v>199363</v>
      </c>
      <c r="I331">
        <v>175344</v>
      </c>
      <c r="J331">
        <v>29998</v>
      </c>
      <c r="K331">
        <v>16399</v>
      </c>
      <c r="L331">
        <v>15811</v>
      </c>
      <c r="M331">
        <v>13008</v>
      </c>
      <c r="N331">
        <v>11183</v>
      </c>
      <c r="O331">
        <v>10316</v>
      </c>
      <c r="P331">
        <v>9875</v>
      </c>
      <c r="Q331">
        <v>6146</v>
      </c>
      <c r="R331">
        <v>4817</v>
      </c>
      <c r="S331">
        <v>3960</v>
      </c>
      <c r="T331">
        <v>3200</v>
      </c>
      <c r="U331">
        <v>2731</v>
      </c>
      <c r="V331">
        <v>2596</v>
      </c>
      <c r="W331">
        <v>2017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1087272</v>
      </c>
    </row>
    <row r="332" spans="1:50" x14ac:dyDescent="0.2">
      <c r="A332" t="s">
        <v>20</v>
      </c>
      <c r="C332">
        <v>330</v>
      </c>
      <c r="D332">
        <v>9</v>
      </c>
      <c r="E332" t="s">
        <v>413</v>
      </c>
      <c r="F332">
        <v>2014</v>
      </c>
      <c r="G332">
        <v>660373</v>
      </c>
      <c r="H332">
        <v>423611</v>
      </c>
      <c r="I332">
        <v>33743</v>
      </c>
      <c r="J332">
        <v>26685</v>
      </c>
      <c r="K332">
        <v>20690</v>
      </c>
      <c r="L332">
        <v>11449</v>
      </c>
      <c r="M332">
        <v>6680</v>
      </c>
      <c r="N332">
        <v>5442</v>
      </c>
      <c r="O332">
        <v>4529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1193202</v>
      </c>
    </row>
    <row r="333" spans="1:50" x14ac:dyDescent="0.2">
      <c r="A333" t="s">
        <v>20</v>
      </c>
      <c r="C333">
        <v>331</v>
      </c>
      <c r="D333">
        <v>7</v>
      </c>
      <c r="E333" t="s">
        <v>414</v>
      </c>
      <c r="F333">
        <v>2014</v>
      </c>
      <c r="G333">
        <v>577433</v>
      </c>
      <c r="H333">
        <v>485517</v>
      </c>
      <c r="I333">
        <v>34404</v>
      </c>
      <c r="J333">
        <v>27886</v>
      </c>
      <c r="K333">
        <v>21760</v>
      </c>
      <c r="L333">
        <v>13647</v>
      </c>
      <c r="M333">
        <v>10541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1171188</v>
      </c>
    </row>
    <row r="334" spans="1:50" x14ac:dyDescent="0.2">
      <c r="A334" t="s">
        <v>20</v>
      </c>
      <c r="C334">
        <v>332</v>
      </c>
      <c r="D334">
        <v>15</v>
      </c>
      <c r="E334" t="s">
        <v>415</v>
      </c>
      <c r="F334">
        <v>2014</v>
      </c>
      <c r="G334">
        <v>703236</v>
      </c>
      <c r="H334">
        <v>386379</v>
      </c>
      <c r="I334">
        <v>21593</v>
      </c>
      <c r="J334">
        <v>20034</v>
      </c>
      <c r="K334">
        <v>12675</v>
      </c>
      <c r="L334">
        <v>5939</v>
      </c>
      <c r="M334">
        <v>4971</v>
      </c>
      <c r="N334">
        <v>4467</v>
      </c>
      <c r="O334">
        <v>3263</v>
      </c>
      <c r="P334">
        <v>3069</v>
      </c>
      <c r="Q334">
        <v>1692</v>
      </c>
      <c r="R334">
        <v>1564</v>
      </c>
      <c r="S334">
        <v>1291</v>
      </c>
      <c r="T334">
        <v>1240</v>
      </c>
      <c r="U334">
        <v>1216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1172629</v>
      </c>
    </row>
    <row r="335" spans="1:50" x14ac:dyDescent="0.2">
      <c r="A335" t="s">
        <v>20</v>
      </c>
      <c r="C335">
        <v>333</v>
      </c>
      <c r="D335">
        <v>13</v>
      </c>
      <c r="E335" t="s">
        <v>416</v>
      </c>
      <c r="F335">
        <v>2014</v>
      </c>
      <c r="G335">
        <v>644794</v>
      </c>
      <c r="H335">
        <v>249089</v>
      </c>
      <c r="I335">
        <v>17182</v>
      </c>
      <c r="J335">
        <v>14579</v>
      </c>
      <c r="K335">
        <v>12479</v>
      </c>
      <c r="L335">
        <v>10407</v>
      </c>
      <c r="M335">
        <v>10160</v>
      </c>
      <c r="N335">
        <v>6418</v>
      </c>
      <c r="O335">
        <v>5186</v>
      </c>
      <c r="P335">
        <v>4897</v>
      </c>
      <c r="Q335">
        <v>2977</v>
      </c>
      <c r="R335">
        <v>2559</v>
      </c>
      <c r="S335">
        <v>1392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982119</v>
      </c>
    </row>
    <row r="336" spans="1:50" x14ac:dyDescent="0.2">
      <c r="A336" t="s">
        <v>20</v>
      </c>
      <c r="C336">
        <v>334</v>
      </c>
      <c r="D336">
        <v>12</v>
      </c>
      <c r="E336" t="s">
        <v>417</v>
      </c>
      <c r="F336">
        <v>2014</v>
      </c>
      <c r="G336">
        <v>630317</v>
      </c>
      <c r="H336">
        <v>384053</v>
      </c>
      <c r="I336">
        <v>19698</v>
      </c>
      <c r="J336">
        <v>15088</v>
      </c>
      <c r="K336">
        <v>11982</v>
      </c>
      <c r="L336">
        <v>10344</v>
      </c>
      <c r="M336">
        <v>7110</v>
      </c>
      <c r="N336">
        <v>6737</v>
      </c>
      <c r="O336">
        <v>5909</v>
      </c>
      <c r="P336">
        <v>5684</v>
      </c>
      <c r="Q336">
        <v>5374</v>
      </c>
      <c r="R336">
        <v>1794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1104090</v>
      </c>
    </row>
    <row r="337" spans="1:50" x14ac:dyDescent="0.2">
      <c r="A337" t="s">
        <v>20</v>
      </c>
      <c r="C337">
        <v>335</v>
      </c>
      <c r="D337">
        <v>13</v>
      </c>
      <c r="E337" t="s">
        <v>418</v>
      </c>
      <c r="F337">
        <v>2014</v>
      </c>
      <c r="G337">
        <v>644822</v>
      </c>
      <c r="H337">
        <v>444040</v>
      </c>
      <c r="I337">
        <v>16981</v>
      </c>
      <c r="J337">
        <v>12760</v>
      </c>
      <c r="K337">
        <v>10862</v>
      </c>
      <c r="L337">
        <v>7559</v>
      </c>
      <c r="M337">
        <v>5091</v>
      </c>
      <c r="N337">
        <v>4822</v>
      </c>
      <c r="O337">
        <v>2307</v>
      </c>
      <c r="P337">
        <v>1825</v>
      </c>
      <c r="Q337">
        <v>1713</v>
      </c>
      <c r="R337">
        <v>1168</v>
      </c>
      <c r="S337">
        <v>1010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1154960</v>
      </c>
    </row>
    <row r="338" spans="1:50" x14ac:dyDescent="0.2">
      <c r="A338" t="s">
        <v>20</v>
      </c>
      <c r="C338">
        <v>336</v>
      </c>
      <c r="D338">
        <v>7</v>
      </c>
      <c r="E338" t="s">
        <v>419</v>
      </c>
      <c r="F338">
        <v>2014</v>
      </c>
      <c r="G338">
        <v>676102</v>
      </c>
      <c r="H338">
        <v>394556</v>
      </c>
      <c r="I338">
        <v>23587</v>
      </c>
      <c r="J338">
        <v>19064</v>
      </c>
      <c r="K338">
        <v>13617</v>
      </c>
      <c r="L338">
        <v>11602</v>
      </c>
      <c r="M338">
        <v>7836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1146364</v>
      </c>
    </row>
    <row r="339" spans="1:50" x14ac:dyDescent="0.2">
      <c r="A339" t="s">
        <v>21</v>
      </c>
      <c r="C339">
        <v>337</v>
      </c>
      <c r="D339">
        <v>7</v>
      </c>
      <c r="E339" t="s">
        <v>21</v>
      </c>
      <c r="F339">
        <v>2014</v>
      </c>
      <c r="G339">
        <v>163698</v>
      </c>
      <c r="H339">
        <v>121956</v>
      </c>
      <c r="I339">
        <v>7279</v>
      </c>
      <c r="J339">
        <v>7189</v>
      </c>
      <c r="K339">
        <v>4332</v>
      </c>
      <c r="L339">
        <v>2541</v>
      </c>
      <c r="M339">
        <v>1972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308967</v>
      </c>
    </row>
    <row r="340" spans="1:50" x14ac:dyDescent="0.2">
      <c r="A340" t="s">
        <v>22</v>
      </c>
      <c r="C340">
        <v>338</v>
      </c>
      <c r="D340">
        <v>15</v>
      </c>
      <c r="E340" t="s">
        <v>420</v>
      </c>
      <c r="F340">
        <v>2014</v>
      </c>
      <c r="G340">
        <v>628499</v>
      </c>
      <c r="H340">
        <v>305069</v>
      </c>
      <c r="I340">
        <v>204734</v>
      </c>
      <c r="J340">
        <v>43960</v>
      </c>
      <c r="K340">
        <v>23598</v>
      </c>
      <c r="L340">
        <v>13794</v>
      </c>
      <c r="M340">
        <v>11137</v>
      </c>
      <c r="N340">
        <v>8260</v>
      </c>
      <c r="O340">
        <v>3085</v>
      </c>
      <c r="P340">
        <v>2966</v>
      </c>
      <c r="Q340">
        <v>2642</v>
      </c>
      <c r="R340">
        <v>2441</v>
      </c>
      <c r="S340">
        <v>1597</v>
      </c>
      <c r="T340">
        <v>1596</v>
      </c>
      <c r="U340">
        <v>1062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1254440</v>
      </c>
    </row>
    <row r="341" spans="1:50" x14ac:dyDescent="0.2">
      <c r="A341" t="s">
        <v>22</v>
      </c>
      <c r="C341">
        <v>339</v>
      </c>
      <c r="D341">
        <v>34</v>
      </c>
      <c r="E341" t="s">
        <v>421</v>
      </c>
      <c r="F341">
        <v>2014</v>
      </c>
      <c r="G341">
        <v>406704</v>
      </c>
      <c r="H341">
        <v>307000</v>
      </c>
      <c r="I341">
        <v>86989</v>
      </c>
      <c r="J341">
        <v>24190</v>
      </c>
      <c r="K341">
        <v>23751</v>
      </c>
      <c r="L341">
        <v>17472</v>
      </c>
      <c r="M341">
        <v>14585</v>
      </c>
      <c r="N341">
        <v>6819</v>
      </c>
      <c r="O341">
        <v>4960</v>
      </c>
      <c r="P341">
        <v>1589</v>
      </c>
      <c r="Q341">
        <v>1494</v>
      </c>
      <c r="R341">
        <v>1198</v>
      </c>
      <c r="S341">
        <v>1145</v>
      </c>
      <c r="T341">
        <v>964</v>
      </c>
      <c r="U341">
        <v>870</v>
      </c>
      <c r="V341">
        <v>777</v>
      </c>
      <c r="W341">
        <v>712</v>
      </c>
      <c r="X341">
        <v>600</v>
      </c>
      <c r="Y341">
        <v>569</v>
      </c>
      <c r="Z341">
        <v>559</v>
      </c>
      <c r="AA341">
        <v>502</v>
      </c>
      <c r="AB341">
        <v>475</v>
      </c>
      <c r="AC341">
        <v>0</v>
      </c>
      <c r="AD341">
        <v>472</v>
      </c>
      <c r="AE341">
        <v>469</v>
      </c>
      <c r="AF341">
        <v>457</v>
      </c>
      <c r="AG341">
        <v>414</v>
      </c>
      <c r="AH341">
        <v>387</v>
      </c>
      <c r="AI341">
        <v>386</v>
      </c>
      <c r="AJ341">
        <v>343</v>
      </c>
      <c r="AK341">
        <v>337</v>
      </c>
      <c r="AL341">
        <v>311</v>
      </c>
      <c r="AM341">
        <v>302</v>
      </c>
      <c r="AN341">
        <v>297</v>
      </c>
      <c r="AO341">
        <v>257</v>
      </c>
      <c r="AP341">
        <v>234</v>
      </c>
      <c r="AQ341">
        <v>216</v>
      </c>
      <c r="AR341">
        <v>211</v>
      </c>
      <c r="AS341">
        <v>208</v>
      </c>
      <c r="AT341">
        <v>0</v>
      </c>
      <c r="AU341">
        <v>206</v>
      </c>
      <c r="AV341">
        <v>0</v>
      </c>
      <c r="AW341">
        <v>0</v>
      </c>
      <c r="AX341">
        <v>909431</v>
      </c>
    </row>
    <row r="342" spans="1:50" x14ac:dyDescent="0.2">
      <c r="A342" t="s">
        <v>22</v>
      </c>
      <c r="C342">
        <v>340</v>
      </c>
      <c r="D342">
        <v>35</v>
      </c>
      <c r="E342" t="s">
        <v>422</v>
      </c>
      <c r="F342">
        <v>2014</v>
      </c>
      <c r="G342">
        <v>434540</v>
      </c>
      <c r="H342">
        <v>298965</v>
      </c>
      <c r="I342">
        <v>258262</v>
      </c>
      <c r="J342">
        <v>24276</v>
      </c>
      <c r="K342">
        <v>20229</v>
      </c>
      <c r="L342">
        <v>17208</v>
      </c>
      <c r="M342">
        <v>1708</v>
      </c>
      <c r="N342">
        <v>1647</v>
      </c>
      <c r="O342">
        <v>1529</v>
      </c>
      <c r="P342">
        <v>1289</v>
      </c>
      <c r="Q342">
        <v>1180</v>
      </c>
      <c r="R342">
        <v>976</v>
      </c>
      <c r="S342">
        <v>865</v>
      </c>
      <c r="T342">
        <v>636</v>
      </c>
      <c r="U342">
        <v>533</v>
      </c>
      <c r="V342">
        <v>518</v>
      </c>
      <c r="W342">
        <v>511</v>
      </c>
      <c r="X342">
        <v>498</v>
      </c>
      <c r="Y342">
        <v>427</v>
      </c>
      <c r="Z342">
        <v>416</v>
      </c>
      <c r="AA342">
        <v>373</v>
      </c>
      <c r="AB342">
        <v>372</v>
      </c>
      <c r="AC342">
        <v>328</v>
      </c>
      <c r="AD342">
        <v>274</v>
      </c>
      <c r="AE342">
        <v>271</v>
      </c>
      <c r="AF342">
        <v>267</v>
      </c>
      <c r="AG342">
        <v>259</v>
      </c>
      <c r="AH342">
        <v>257</v>
      </c>
      <c r="AI342">
        <v>253</v>
      </c>
      <c r="AJ342">
        <v>244</v>
      </c>
      <c r="AK342">
        <v>233</v>
      </c>
      <c r="AL342">
        <v>232</v>
      </c>
      <c r="AM342">
        <v>221</v>
      </c>
      <c r="AN342">
        <v>215</v>
      </c>
      <c r="AO342">
        <v>203</v>
      </c>
      <c r="AP342">
        <v>192</v>
      </c>
      <c r="AQ342">
        <v>188</v>
      </c>
      <c r="AR342">
        <v>174</v>
      </c>
      <c r="AS342">
        <v>157</v>
      </c>
      <c r="AT342">
        <v>140</v>
      </c>
      <c r="AU342">
        <v>121</v>
      </c>
      <c r="AV342">
        <v>117</v>
      </c>
      <c r="AW342">
        <v>105</v>
      </c>
      <c r="AX342">
        <v>1071409</v>
      </c>
    </row>
    <row r="343" spans="1:50" x14ac:dyDescent="0.2">
      <c r="A343" t="s">
        <v>22</v>
      </c>
      <c r="C343">
        <v>341</v>
      </c>
      <c r="D343">
        <v>20</v>
      </c>
      <c r="E343" t="s">
        <v>423</v>
      </c>
      <c r="F343">
        <v>2014</v>
      </c>
      <c r="G343">
        <v>333296</v>
      </c>
      <c r="H343">
        <v>287455</v>
      </c>
      <c r="I343">
        <v>114798</v>
      </c>
      <c r="J343">
        <v>25981</v>
      </c>
      <c r="K343">
        <v>21959</v>
      </c>
      <c r="L343">
        <v>19553</v>
      </c>
      <c r="M343">
        <v>2531</v>
      </c>
      <c r="N343">
        <v>2019</v>
      </c>
      <c r="O343">
        <v>1528</v>
      </c>
      <c r="P343">
        <v>973</v>
      </c>
      <c r="Q343">
        <v>805</v>
      </c>
      <c r="R343">
        <v>697</v>
      </c>
      <c r="S343">
        <v>579</v>
      </c>
      <c r="T343">
        <v>391</v>
      </c>
      <c r="U343">
        <v>390</v>
      </c>
      <c r="V343">
        <v>0</v>
      </c>
      <c r="W343">
        <v>369</v>
      </c>
      <c r="X343">
        <v>336</v>
      </c>
      <c r="Y343">
        <v>324</v>
      </c>
      <c r="Z343">
        <v>261</v>
      </c>
      <c r="AA343">
        <v>259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814504</v>
      </c>
    </row>
    <row r="344" spans="1:50" x14ac:dyDescent="0.2">
      <c r="A344" t="s">
        <v>22</v>
      </c>
      <c r="C344">
        <v>342</v>
      </c>
      <c r="D344">
        <v>22</v>
      </c>
      <c r="E344" t="s">
        <v>424</v>
      </c>
      <c r="F344">
        <v>2014</v>
      </c>
      <c r="G344">
        <v>545820</v>
      </c>
      <c r="H344">
        <v>443174</v>
      </c>
      <c r="I344">
        <v>187094</v>
      </c>
      <c r="J344">
        <v>39015</v>
      </c>
      <c r="K344">
        <v>27676</v>
      </c>
      <c r="L344">
        <v>18963</v>
      </c>
      <c r="M344">
        <v>4977</v>
      </c>
      <c r="N344">
        <v>4743</v>
      </c>
      <c r="O344">
        <v>2782</v>
      </c>
      <c r="P344">
        <v>2622</v>
      </c>
      <c r="Q344">
        <v>1726</v>
      </c>
      <c r="R344">
        <v>1301</v>
      </c>
      <c r="S344">
        <v>1165</v>
      </c>
      <c r="T344">
        <v>870</v>
      </c>
      <c r="U344">
        <v>811</v>
      </c>
      <c r="V344">
        <v>791</v>
      </c>
      <c r="W344">
        <v>781</v>
      </c>
      <c r="X344">
        <v>699</v>
      </c>
      <c r="Y344">
        <v>497</v>
      </c>
      <c r="Z344">
        <v>477</v>
      </c>
      <c r="AA344">
        <v>372</v>
      </c>
      <c r="AB344">
        <v>291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1286647</v>
      </c>
    </row>
    <row r="345" spans="1:50" x14ac:dyDescent="0.2">
      <c r="A345" t="s">
        <v>22</v>
      </c>
      <c r="C345">
        <v>343</v>
      </c>
      <c r="D345">
        <v>12</v>
      </c>
      <c r="E345" t="s">
        <v>425</v>
      </c>
      <c r="F345">
        <v>2014</v>
      </c>
      <c r="G345">
        <v>499395</v>
      </c>
      <c r="H345">
        <v>352529</v>
      </c>
      <c r="I345">
        <v>207080</v>
      </c>
      <c r="J345">
        <v>33313</v>
      </c>
      <c r="K345">
        <v>17736</v>
      </c>
      <c r="L345">
        <v>6807</v>
      </c>
      <c r="M345">
        <v>3618</v>
      </c>
      <c r="N345">
        <v>2895</v>
      </c>
      <c r="O345">
        <v>1479</v>
      </c>
      <c r="P345">
        <v>1368</v>
      </c>
      <c r="Q345">
        <v>1090</v>
      </c>
      <c r="R345">
        <v>1089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1128399</v>
      </c>
    </row>
    <row r="346" spans="1:50" x14ac:dyDescent="0.2">
      <c r="A346" t="s">
        <v>22</v>
      </c>
      <c r="C346">
        <v>344</v>
      </c>
      <c r="D346">
        <v>28</v>
      </c>
      <c r="E346" t="s">
        <v>426</v>
      </c>
      <c r="F346">
        <v>2014</v>
      </c>
      <c r="G346">
        <v>493534</v>
      </c>
      <c r="H346">
        <v>252768</v>
      </c>
      <c r="I346">
        <v>233762</v>
      </c>
      <c r="J346">
        <v>56337</v>
      </c>
      <c r="K346">
        <v>10370</v>
      </c>
      <c r="L346">
        <v>7354</v>
      </c>
      <c r="M346">
        <v>6570</v>
      </c>
      <c r="N346">
        <v>6025</v>
      </c>
      <c r="O346">
        <v>4021</v>
      </c>
      <c r="P346">
        <v>2198</v>
      </c>
      <c r="Q346">
        <v>1955</v>
      </c>
      <c r="R346">
        <v>1556</v>
      </c>
      <c r="S346">
        <v>1458</v>
      </c>
      <c r="T346">
        <v>1434</v>
      </c>
      <c r="U346">
        <v>1023</v>
      </c>
      <c r="V346">
        <v>920</v>
      </c>
      <c r="W346">
        <v>918</v>
      </c>
      <c r="X346">
        <v>804</v>
      </c>
      <c r="Y346">
        <v>783</v>
      </c>
      <c r="Z346">
        <v>747</v>
      </c>
      <c r="AA346">
        <v>723</v>
      </c>
      <c r="AB346">
        <v>610</v>
      </c>
      <c r="AC346">
        <v>599</v>
      </c>
      <c r="AD346">
        <v>570</v>
      </c>
      <c r="AE346">
        <v>541</v>
      </c>
      <c r="AF346">
        <v>517</v>
      </c>
      <c r="AG346">
        <v>484</v>
      </c>
      <c r="AH346">
        <v>471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1089052</v>
      </c>
    </row>
    <row r="347" spans="1:50" x14ac:dyDescent="0.2">
      <c r="A347" t="s">
        <v>22</v>
      </c>
      <c r="C347">
        <v>345</v>
      </c>
      <c r="D347">
        <v>24</v>
      </c>
      <c r="E347" t="s">
        <v>427</v>
      </c>
      <c r="F347">
        <v>2014</v>
      </c>
      <c r="G347">
        <v>383719</v>
      </c>
      <c r="H347">
        <v>324326</v>
      </c>
      <c r="I347">
        <v>205896</v>
      </c>
      <c r="J347">
        <v>21650</v>
      </c>
      <c r="K347">
        <v>7100</v>
      </c>
      <c r="L347">
        <v>6056</v>
      </c>
      <c r="M347">
        <v>4169</v>
      </c>
      <c r="N347">
        <v>3742</v>
      </c>
      <c r="O347">
        <v>3603</v>
      </c>
      <c r="P347">
        <v>2791</v>
      </c>
      <c r="Q347">
        <v>1708</v>
      </c>
      <c r="R347">
        <v>1293</v>
      </c>
      <c r="S347">
        <v>1052</v>
      </c>
      <c r="T347">
        <v>991</v>
      </c>
      <c r="U347">
        <v>828</v>
      </c>
      <c r="V347">
        <v>790</v>
      </c>
      <c r="W347">
        <v>764</v>
      </c>
      <c r="X347">
        <v>745</v>
      </c>
      <c r="Y347">
        <v>581</v>
      </c>
      <c r="Z347">
        <v>561</v>
      </c>
      <c r="AA347">
        <v>558</v>
      </c>
      <c r="AB347">
        <v>496</v>
      </c>
      <c r="AC347">
        <v>491</v>
      </c>
      <c r="AD347">
        <v>430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974340</v>
      </c>
    </row>
    <row r="348" spans="1:50" x14ac:dyDescent="0.2">
      <c r="A348" t="s">
        <v>22</v>
      </c>
      <c r="C348">
        <v>346</v>
      </c>
      <c r="D348">
        <v>16</v>
      </c>
      <c r="E348" t="s">
        <v>428</v>
      </c>
      <c r="F348">
        <v>2014</v>
      </c>
      <c r="G348">
        <v>480491</v>
      </c>
      <c r="H348">
        <v>273900</v>
      </c>
      <c r="I348">
        <v>224963</v>
      </c>
      <c r="J348">
        <v>38885</v>
      </c>
      <c r="K348">
        <v>16020</v>
      </c>
      <c r="L348">
        <v>8618</v>
      </c>
      <c r="M348">
        <v>3875</v>
      </c>
      <c r="N348">
        <v>3665</v>
      </c>
      <c r="O348">
        <v>3033</v>
      </c>
      <c r="P348">
        <v>2737</v>
      </c>
      <c r="Q348">
        <v>2530</v>
      </c>
      <c r="R348">
        <v>2261</v>
      </c>
      <c r="S348">
        <v>2135</v>
      </c>
      <c r="T348">
        <v>2015</v>
      </c>
      <c r="U348">
        <v>1744</v>
      </c>
      <c r="V348">
        <v>1519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1068391</v>
      </c>
    </row>
    <row r="349" spans="1:50" x14ac:dyDescent="0.2">
      <c r="A349" t="s">
        <v>22</v>
      </c>
      <c r="C349">
        <v>347</v>
      </c>
      <c r="D349">
        <v>16</v>
      </c>
      <c r="E349" t="s">
        <v>429</v>
      </c>
      <c r="F349">
        <v>2014</v>
      </c>
      <c r="G349">
        <v>468194</v>
      </c>
      <c r="H349">
        <v>391048</v>
      </c>
      <c r="I349">
        <v>180297</v>
      </c>
      <c r="J349">
        <v>15455</v>
      </c>
      <c r="K349">
        <v>12693</v>
      </c>
      <c r="L349">
        <v>8180</v>
      </c>
      <c r="M349">
        <v>4934</v>
      </c>
      <c r="N349">
        <v>3905</v>
      </c>
      <c r="O349">
        <v>3164</v>
      </c>
      <c r="P349">
        <v>2802</v>
      </c>
      <c r="Q349">
        <v>2413</v>
      </c>
      <c r="R349">
        <v>2199</v>
      </c>
      <c r="S349">
        <v>1978</v>
      </c>
      <c r="T349">
        <v>1403</v>
      </c>
      <c r="U349">
        <v>1370</v>
      </c>
      <c r="V349">
        <v>1310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1101345</v>
      </c>
    </row>
    <row r="350" spans="1:50" x14ac:dyDescent="0.2">
      <c r="A350" t="s">
        <v>22</v>
      </c>
      <c r="C350">
        <v>348</v>
      </c>
      <c r="D350">
        <v>25</v>
      </c>
      <c r="E350" t="s">
        <v>430</v>
      </c>
      <c r="F350">
        <v>2014</v>
      </c>
      <c r="G350">
        <v>500751</v>
      </c>
      <c r="H350">
        <v>332145</v>
      </c>
      <c r="I350">
        <v>157954</v>
      </c>
      <c r="J350">
        <v>17854</v>
      </c>
      <c r="K350">
        <v>10708</v>
      </c>
      <c r="L350">
        <v>9595</v>
      </c>
      <c r="M350">
        <v>6278</v>
      </c>
      <c r="N350">
        <v>4688</v>
      </c>
      <c r="O350">
        <v>4328</v>
      </c>
      <c r="P350">
        <v>3867</v>
      </c>
      <c r="Q350">
        <v>2445</v>
      </c>
      <c r="R350">
        <v>1999</v>
      </c>
      <c r="S350">
        <v>1729</v>
      </c>
      <c r="T350">
        <v>1693</v>
      </c>
      <c r="U350">
        <v>1686</v>
      </c>
      <c r="V350">
        <v>1555</v>
      </c>
      <c r="W350">
        <v>1369</v>
      </c>
      <c r="X350">
        <v>991</v>
      </c>
      <c r="Y350">
        <v>973</v>
      </c>
      <c r="Z350">
        <v>931</v>
      </c>
      <c r="AA350">
        <v>904</v>
      </c>
      <c r="AB350">
        <v>865</v>
      </c>
      <c r="AC350">
        <v>736</v>
      </c>
      <c r="AD350">
        <v>724</v>
      </c>
      <c r="AE350">
        <v>679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1067447</v>
      </c>
    </row>
    <row r="351" spans="1:50" x14ac:dyDescent="0.2">
      <c r="A351" t="s">
        <v>22</v>
      </c>
      <c r="C351">
        <v>349</v>
      </c>
      <c r="D351">
        <v>20</v>
      </c>
      <c r="E351" t="s">
        <v>431</v>
      </c>
      <c r="F351">
        <v>2014</v>
      </c>
      <c r="G351">
        <v>502721</v>
      </c>
      <c r="H351">
        <v>258877</v>
      </c>
      <c r="I351">
        <v>253332</v>
      </c>
      <c r="J351">
        <v>27717</v>
      </c>
      <c r="K351">
        <v>10263</v>
      </c>
      <c r="L351">
        <v>9304</v>
      </c>
      <c r="M351">
        <v>8059</v>
      </c>
      <c r="N351">
        <v>5573</v>
      </c>
      <c r="O351">
        <v>4331</v>
      </c>
      <c r="P351">
        <v>2598</v>
      </c>
      <c r="Q351">
        <v>2372</v>
      </c>
      <c r="R351">
        <v>1952</v>
      </c>
      <c r="S351">
        <v>1760</v>
      </c>
      <c r="T351">
        <v>1746</v>
      </c>
      <c r="U351">
        <v>1309</v>
      </c>
      <c r="V351">
        <v>1243</v>
      </c>
      <c r="W351">
        <v>910</v>
      </c>
      <c r="X351">
        <v>798</v>
      </c>
      <c r="Y351">
        <v>668</v>
      </c>
      <c r="Z351">
        <v>513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1096046</v>
      </c>
    </row>
    <row r="352" spans="1:50" x14ac:dyDescent="0.2">
      <c r="A352" t="s">
        <v>22</v>
      </c>
      <c r="C352">
        <v>350</v>
      </c>
      <c r="D352">
        <v>21</v>
      </c>
      <c r="E352" t="s">
        <v>432</v>
      </c>
      <c r="F352">
        <v>2014</v>
      </c>
      <c r="G352">
        <v>482704</v>
      </c>
      <c r="H352">
        <v>289337</v>
      </c>
      <c r="I352">
        <v>209663</v>
      </c>
      <c r="J352">
        <v>21461</v>
      </c>
      <c r="K352">
        <v>17408</v>
      </c>
      <c r="L352">
        <v>11440</v>
      </c>
      <c r="M352">
        <v>4780</v>
      </c>
      <c r="N352">
        <v>3906</v>
      </c>
      <c r="O352">
        <v>3443</v>
      </c>
      <c r="P352">
        <v>3430</v>
      </c>
      <c r="Q352">
        <v>2798</v>
      </c>
      <c r="R352">
        <v>2683</v>
      </c>
      <c r="S352">
        <v>2663</v>
      </c>
      <c r="T352">
        <v>2337</v>
      </c>
      <c r="U352">
        <v>2294</v>
      </c>
      <c r="V352">
        <v>1774</v>
      </c>
      <c r="W352">
        <v>1607</v>
      </c>
      <c r="X352">
        <v>1212</v>
      </c>
      <c r="Y352">
        <v>1197</v>
      </c>
      <c r="Z352">
        <v>811</v>
      </c>
      <c r="AA352">
        <v>693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1067641</v>
      </c>
    </row>
    <row r="353" spans="1:50" x14ac:dyDescent="0.2">
      <c r="A353" t="s">
        <v>22</v>
      </c>
      <c r="C353">
        <v>351</v>
      </c>
      <c r="D353">
        <v>23</v>
      </c>
      <c r="E353" t="s">
        <v>433</v>
      </c>
      <c r="F353">
        <v>2014</v>
      </c>
      <c r="G353">
        <v>533383</v>
      </c>
      <c r="H353">
        <v>309876</v>
      </c>
      <c r="I353">
        <v>164183</v>
      </c>
      <c r="J353">
        <v>39677</v>
      </c>
      <c r="K353">
        <v>10901</v>
      </c>
      <c r="L353">
        <v>7314</v>
      </c>
      <c r="M353">
        <v>6186</v>
      </c>
      <c r="N353">
        <v>5929</v>
      </c>
      <c r="O353">
        <v>5054</v>
      </c>
      <c r="P353">
        <v>3512</v>
      </c>
      <c r="Q353">
        <v>3261</v>
      </c>
      <c r="R353">
        <v>2910</v>
      </c>
      <c r="S353">
        <v>2255</v>
      </c>
      <c r="T353">
        <v>2029</v>
      </c>
      <c r="U353">
        <v>1684</v>
      </c>
      <c r="V353">
        <v>1499</v>
      </c>
      <c r="W353">
        <v>1334</v>
      </c>
      <c r="X353">
        <v>1221</v>
      </c>
      <c r="Y353">
        <v>1097</v>
      </c>
      <c r="Z353">
        <v>1015</v>
      </c>
      <c r="AA353">
        <v>1013</v>
      </c>
      <c r="AB353">
        <v>962</v>
      </c>
      <c r="AC353">
        <v>946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1107241</v>
      </c>
    </row>
    <row r="354" spans="1:50" x14ac:dyDescent="0.2">
      <c r="A354" t="s">
        <v>22</v>
      </c>
      <c r="C354">
        <v>352</v>
      </c>
      <c r="D354">
        <v>26</v>
      </c>
      <c r="E354" t="s">
        <v>434</v>
      </c>
      <c r="F354">
        <v>2014</v>
      </c>
      <c r="G354">
        <v>556546</v>
      </c>
      <c r="H354">
        <v>288936</v>
      </c>
      <c r="I354">
        <v>201265</v>
      </c>
      <c r="J354">
        <v>46477</v>
      </c>
      <c r="K354">
        <v>20601</v>
      </c>
      <c r="L354">
        <v>5374</v>
      </c>
      <c r="M354">
        <v>5198</v>
      </c>
      <c r="N354">
        <v>3261</v>
      </c>
      <c r="O354">
        <v>2903</v>
      </c>
      <c r="P354">
        <v>2581</v>
      </c>
      <c r="Q354">
        <v>2550</v>
      </c>
      <c r="R354">
        <v>2203</v>
      </c>
      <c r="S354">
        <v>1701</v>
      </c>
      <c r="T354">
        <v>1623</v>
      </c>
      <c r="U354">
        <v>1619</v>
      </c>
      <c r="V354">
        <v>1232</v>
      </c>
      <c r="W354">
        <v>1151</v>
      </c>
      <c r="X354">
        <v>777</v>
      </c>
      <c r="Y354">
        <v>731</v>
      </c>
      <c r="Z354">
        <v>623</v>
      </c>
      <c r="AA354">
        <v>574</v>
      </c>
      <c r="AB354">
        <v>529</v>
      </c>
      <c r="AC354">
        <v>526</v>
      </c>
      <c r="AD354">
        <v>484</v>
      </c>
      <c r="AE354">
        <v>474</v>
      </c>
      <c r="AF354">
        <v>357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1150296</v>
      </c>
    </row>
    <row r="355" spans="1:50" x14ac:dyDescent="0.2">
      <c r="A355" t="s">
        <v>22</v>
      </c>
      <c r="C355">
        <v>353</v>
      </c>
      <c r="D355">
        <v>27</v>
      </c>
      <c r="E355" t="s">
        <v>435</v>
      </c>
      <c r="F355">
        <v>2014</v>
      </c>
      <c r="G355">
        <v>563272</v>
      </c>
      <c r="H355">
        <v>268898</v>
      </c>
      <c r="I355">
        <v>146882</v>
      </c>
      <c r="J355">
        <v>19800</v>
      </c>
      <c r="K355">
        <v>16002</v>
      </c>
      <c r="L355">
        <v>4827</v>
      </c>
      <c r="M355">
        <v>4808</v>
      </c>
      <c r="N355">
        <v>4348</v>
      </c>
      <c r="O355">
        <v>3920</v>
      </c>
      <c r="P355">
        <v>3362</v>
      </c>
      <c r="Q355">
        <v>3070</v>
      </c>
      <c r="R355">
        <v>2487</v>
      </c>
      <c r="S355">
        <v>2079</v>
      </c>
      <c r="T355">
        <v>1874</v>
      </c>
      <c r="U355">
        <v>1788</v>
      </c>
      <c r="V355">
        <v>1711</v>
      </c>
      <c r="W355">
        <v>1600</v>
      </c>
      <c r="X355">
        <v>1182</v>
      </c>
      <c r="Y355">
        <v>915</v>
      </c>
      <c r="Z355">
        <v>858</v>
      </c>
      <c r="AA355">
        <v>835</v>
      </c>
      <c r="AB355">
        <v>823</v>
      </c>
      <c r="AC355">
        <v>787</v>
      </c>
      <c r="AD355">
        <v>737</v>
      </c>
      <c r="AE355">
        <v>717</v>
      </c>
      <c r="AF355">
        <v>700</v>
      </c>
      <c r="AG355">
        <v>473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1058755</v>
      </c>
    </row>
    <row r="356" spans="1:50" x14ac:dyDescent="0.2">
      <c r="A356" t="s">
        <v>22</v>
      </c>
      <c r="C356">
        <v>354</v>
      </c>
      <c r="D356">
        <v>15</v>
      </c>
      <c r="E356" t="s">
        <v>436</v>
      </c>
      <c r="F356">
        <v>2014</v>
      </c>
      <c r="G356">
        <v>466995</v>
      </c>
      <c r="H356">
        <v>255432</v>
      </c>
      <c r="I356">
        <v>217260</v>
      </c>
      <c r="J356">
        <v>26726</v>
      </c>
      <c r="K356">
        <v>16268</v>
      </c>
      <c r="L356">
        <v>7478</v>
      </c>
      <c r="M356">
        <v>5917</v>
      </c>
      <c r="N356">
        <v>4654</v>
      </c>
      <c r="O356">
        <v>1969</v>
      </c>
      <c r="P356">
        <v>1592</v>
      </c>
      <c r="Q356">
        <v>1298</v>
      </c>
      <c r="R356">
        <v>1046</v>
      </c>
      <c r="S356">
        <v>818</v>
      </c>
      <c r="T356">
        <v>610</v>
      </c>
      <c r="U356">
        <v>519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1008582</v>
      </c>
    </row>
    <row r="357" spans="1:50" x14ac:dyDescent="0.2">
      <c r="A357" t="s">
        <v>22</v>
      </c>
      <c r="C357">
        <v>355</v>
      </c>
      <c r="D357">
        <v>26</v>
      </c>
      <c r="E357" t="s">
        <v>437</v>
      </c>
      <c r="F357">
        <v>2014</v>
      </c>
      <c r="G357">
        <v>442778</v>
      </c>
      <c r="H357">
        <v>263463</v>
      </c>
      <c r="I357">
        <v>205411</v>
      </c>
      <c r="J357">
        <v>47554</v>
      </c>
      <c r="K357">
        <v>33331</v>
      </c>
      <c r="L357">
        <v>13941</v>
      </c>
      <c r="M357">
        <v>6422</v>
      </c>
      <c r="N357">
        <v>4665</v>
      </c>
      <c r="O357">
        <v>4264</v>
      </c>
      <c r="P357">
        <v>4074</v>
      </c>
      <c r="Q357">
        <v>3087</v>
      </c>
      <c r="R357">
        <v>2167</v>
      </c>
      <c r="S357">
        <v>2010</v>
      </c>
      <c r="T357">
        <v>1991</v>
      </c>
      <c r="U357">
        <v>1926</v>
      </c>
      <c r="V357">
        <v>1820</v>
      </c>
      <c r="W357">
        <v>1193</v>
      </c>
      <c r="X357">
        <v>0</v>
      </c>
      <c r="Y357">
        <v>1153</v>
      </c>
      <c r="Z357">
        <v>1151</v>
      </c>
      <c r="AA357">
        <v>1097</v>
      </c>
      <c r="AB357">
        <v>1038</v>
      </c>
      <c r="AC357">
        <v>949</v>
      </c>
      <c r="AD357">
        <v>916</v>
      </c>
      <c r="AE357">
        <v>908</v>
      </c>
      <c r="AF357">
        <v>900</v>
      </c>
      <c r="AG357">
        <v>788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1048997</v>
      </c>
    </row>
    <row r="358" spans="1:50" x14ac:dyDescent="0.2">
      <c r="A358" t="s">
        <v>22</v>
      </c>
      <c r="C358">
        <v>356</v>
      </c>
      <c r="D358">
        <v>11</v>
      </c>
      <c r="E358" t="s">
        <v>438</v>
      </c>
      <c r="F358">
        <v>2014</v>
      </c>
      <c r="G358">
        <v>463700</v>
      </c>
      <c r="H358">
        <v>358760</v>
      </c>
      <c r="I358">
        <v>46559</v>
      </c>
      <c r="J358">
        <v>37702</v>
      </c>
      <c r="K358">
        <v>12525</v>
      </c>
      <c r="L358">
        <v>3377</v>
      </c>
      <c r="M358">
        <v>2733</v>
      </c>
      <c r="N358">
        <v>2704</v>
      </c>
      <c r="O358">
        <v>1711</v>
      </c>
      <c r="P358">
        <v>1655</v>
      </c>
      <c r="Q358">
        <v>1650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933076</v>
      </c>
    </row>
    <row r="359" spans="1:50" x14ac:dyDescent="0.2">
      <c r="A359" t="s">
        <v>22</v>
      </c>
      <c r="C359">
        <v>357</v>
      </c>
      <c r="D359">
        <v>26</v>
      </c>
      <c r="E359" t="s">
        <v>439</v>
      </c>
      <c r="F359">
        <v>2014</v>
      </c>
      <c r="G359">
        <v>431717</v>
      </c>
      <c r="H359">
        <v>389701</v>
      </c>
      <c r="I359">
        <v>217083</v>
      </c>
      <c r="J359">
        <v>56962</v>
      </c>
      <c r="K359">
        <v>34197</v>
      </c>
      <c r="L359">
        <v>17428</v>
      </c>
      <c r="M359">
        <v>6680</v>
      </c>
      <c r="N359">
        <v>2329</v>
      </c>
      <c r="O359">
        <v>2122</v>
      </c>
      <c r="P359">
        <v>1959</v>
      </c>
      <c r="Q359">
        <v>1756</v>
      </c>
      <c r="R359">
        <v>1699</v>
      </c>
      <c r="S359">
        <v>1672</v>
      </c>
      <c r="T359">
        <v>1360</v>
      </c>
      <c r="U359">
        <v>1306</v>
      </c>
      <c r="V359">
        <v>1232</v>
      </c>
      <c r="W359">
        <v>1100</v>
      </c>
      <c r="X359">
        <v>1051</v>
      </c>
      <c r="Y359">
        <v>858</v>
      </c>
      <c r="Z359">
        <v>799</v>
      </c>
      <c r="AA359">
        <v>766</v>
      </c>
      <c r="AB359">
        <v>640</v>
      </c>
      <c r="AC359">
        <v>607</v>
      </c>
      <c r="AD359">
        <v>596</v>
      </c>
      <c r="AE359">
        <v>550</v>
      </c>
      <c r="AF359">
        <v>450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1176620</v>
      </c>
    </row>
    <row r="360" spans="1:50" x14ac:dyDescent="0.2">
      <c r="A360" t="s">
        <v>22</v>
      </c>
      <c r="C360">
        <v>358</v>
      </c>
      <c r="D360">
        <v>19</v>
      </c>
      <c r="E360" t="s">
        <v>440</v>
      </c>
      <c r="F360">
        <v>2014</v>
      </c>
      <c r="G360">
        <v>417092</v>
      </c>
      <c r="H360">
        <v>276118</v>
      </c>
      <c r="I360">
        <v>251829</v>
      </c>
      <c r="J360">
        <v>30014</v>
      </c>
      <c r="K360">
        <v>12947</v>
      </c>
      <c r="L360">
        <v>4942</v>
      </c>
      <c r="M360">
        <v>3953</v>
      </c>
      <c r="N360">
        <v>2472</v>
      </c>
      <c r="O360">
        <v>2192</v>
      </c>
      <c r="P360">
        <v>2071</v>
      </c>
      <c r="Q360">
        <v>1599</v>
      </c>
      <c r="R360">
        <v>1523</v>
      </c>
      <c r="S360">
        <v>1171</v>
      </c>
      <c r="T360">
        <v>1004</v>
      </c>
      <c r="U360">
        <v>895</v>
      </c>
      <c r="V360">
        <v>891</v>
      </c>
      <c r="W360">
        <v>834</v>
      </c>
      <c r="X360">
        <v>626</v>
      </c>
      <c r="Y360">
        <v>494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1012667</v>
      </c>
    </row>
    <row r="361" spans="1:50" x14ac:dyDescent="0.2">
      <c r="A361" t="s">
        <v>22</v>
      </c>
      <c r="C361">
        <v>359</v>
      </c>
      <c r="D361">
        <v>19</v>
      </c>
      <c r="E361" t="s">
        <v>441</v>
      </c>
      <c r="F361">
        <v>2014</v>
      </c>
      <c r="G361">
        <v>510462</v>
      </c>
      <c r="H361">
        <v>382617</v>
      </c>
      <c r="I361">
        <v>93794</v>
      </c>
      <c r="J361">
        <v>35632</v>
      </c>
      <c r="K361">
        <v>19455</v>
      </c>
      <c r="L361">
        <v>10591</v>
      </c>
      <c r="M361">
        <v>7580</v>
      </c>
      <c r="N361">
        <v>5859</v>
      </c>
      <c r="O361">
        <v>3588</v>
      </c>
      <c r="P361">
        <v>3395</v>
      </c>
      <c r="Q361">
        <v>2604</v>
      </c>
      <c r="R361">
        <v>1903</v>
      </c>
      <c r="S361">
        <v>1261</v>
      </c>
      <c r="T361">
        <v>1202</v>
      </c>
      <c r="U361">
        <v>863</v>
      </c>
      <c r="V361">
        <v>786</v>
      </c>
      <c r="W361">
        <v>627</v>
      </c>
      <c r="X361">
        <v>592</v>
      </c>
      <c r="Y361">
        <v>553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1083364</v>
      </c>
    </row>
    <row r="362" spans="1:50" x14ac:dyDescent="0.2">
      <c r="A362" t="s">
        <v>22</v>
      </c>
      <c r="C362">
        <v>360</v>
      </c>
      <c r="D362">
        <v>26</v>
      </c>
      <c r="E362" t="s">
        <v>442</v>
      </c>
      <c r="F362">
        <v>2014</v>
      </c>
      <c r="G362">
        <v>540722</v>
      </c>
      <c r="H362">
        <v>345475</v>
      </c>
      <c r="I362">
        <v>76560</v>
      </c>
      <c r="J362">
        <v>30459</v>
      </c>
      <c r="K362">
        <v>13763</v>
      </c>
      <c r="L362">
        <v>5694</v>
      </c>
      <c r="M362">
        <v>4486</v>
      </c>
      <c r="N362">
        <v>4280</v>
      </c>
      <c r="O362">
        <v>3719</v>
      </c>
      <c r="P362">
        <v>3552</v>
      </c>
      <c r="Q362">
        <v>2440</v>
      </c>
      <c r="R362">
        <v>2108</v>
      </c>
      <c r="S362">
        <v>1436</v>
      </c>
      <c r="T362">
        <v>1433</v>
      </c>
      <c r="U362">
        <v>1387</v>
      </c>
      <c r="V362">
        <v>1276</v>
      </c>
      <c r="W362">
        <v>1024</v>
      </c>
      <c r="X362">
        <v>981</v>
      </c>
      <c r="Y362">
        <v>848</v>
      </c>
      <c r="Z362">
        <v>847</v>
      </c>
      <c r="AA362">
        <v>831</v>
      </c>
      <c r="AB362">
        <v>813</v>
      </c>
      <c r="AC362">
        <v>732</v>
      </c>
      <c r="AD362">
        <v>668</v>
      </c>
      <c r="AE362">
        <v>563</v>
      </c>
      <c r="AF362">
        <v>437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1046534</v>
      </c>
    </row>
    <row r="363" spans="1:50" x14ac:dyDescent="0.2">
      <c r="A363" t="s">
        <v>22</v>
      </c>
      <c r="C363">
        <v>361</v>
      </c>
      <c r="D363">
        <v>30</v>
      </c>
      <c r="E363" t="s">
        <v>443</v>
      </c>
      <c r="F363">
        <v>2014</v>
      </c>
      <c r="G363">
        <v>458478</v>
      </c>
      <c r="H363">
        <v>308002</v>
      </c>
      <c r="I363">
        <v>94785</v>
      </c>
      <c r="J363">
        <v>51537</v>
      </c>
      <c r="K363">
        <v>22848</v>
      </c>
      <c r="L363">
        <v>17039</v>
      </c>
      <c r="M363">
        <v>4885</v>
      </c>
      <c r="N363">
        <v>4077</v>
      </c>
      <c r="O363">
        <v>3239</v>
      </c>
      <c r="P363">
        <v>3083</v>
      </c>
      <c r="Q363">
        <v>2484</v>
      </c>
      <c r="R363">
        <v>2348</v>
      </c>
      <c r="S363">
        <v>1710</v>
      </c>
      <c r="T363">
        <v>1425</v>
      </c>
      <c r="U363">
        <v>1283</v>
      </c>
      <c r="V363">
        <v>1198</v>
      </c>
      <c r="W363">
        <v>1119</v>
      </c>
      <c r="X363">
        <v>1003</v>
      </c>
      <c r="Y363">
        <v>784</v>
      </c>
      <c r="Z363">
        <v>751</v>
      </c>
      <c r="AA363">
        <v>734</v>
      </c>
      <c r="AB363">
        <v>731</v>
      </c>
      <c r="AC363">
        <v>687</v>
      </c>
      <c r="AD363">
        <v>680</v>
      </c>
      <c r="AE363">
        <v>669</v>
      </c>
      <c r="AF363">
        <v>636</v>
      </c>
      <c r="AG363">
        <v>606</v>
      </c>
      <c r="AH363">
        <v>589</v>
      </c>
      <c r="AI363">
        <v>485</v>
      </c>
      <c r="AJ363">
        <v>355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988250</v>
      </c>
    </row>
    <row r="364" spans="1:50" x14ac:dyDescent="0.2">
      <c r="A364" t="s">
        <v>22</v>
      </c>
      <c r="C364">
        <v>362</v>
      </c>
      <c r="D364">
        <v>22</v>
      </c>
      <c r="E364" t="s">
        <v>444</v>
      </c>
      <c r="F364">
        <v>2014</v>
      </c>
      <c r="G364">
        <v>462693</v>
      </c>
      <c r="H364">
        <v>249645</v>
      </c>
      <c r="I364">
        <v>238887</v>
      </c>
      <c r="J364">
        <v>31998</v>
      </c>
      <c r="K364">
        <v>11605</v>
      </c>
      <c r="L364">
        <v>6324</v>
      </c>
      <c r="M364">
        <v>3940</v>
      </c>
      <c r="N364">
        <v>2995</v>
      </c>
      <c r="O364">
        <v>2924</v>
      </c>
      <c r="P364">
        <v>2762</v>
      </c>
      <c r="Q364">
        <v>2369</v>
      </c>
      <c r="R364">
        <v>2211</v>
      </c>
      <c r="S364">
        <v>1821</v>
      </c>
      <c r="T364">
        <v>1636</v>
      </c>
      <c r="U364">
        <v>1509</v>
      </c>
      <c r="V364">
        <v>1490</v>
      </c>
      <c r="W364">
        <v>1302</v>
      </c>
      <c r="X364">
        <v>1201</v>
      </c>
      <c r="Y364">
        <v>1018</v>
      </c>
      <c r="Z364">
        <v>986</v>
      </c>
      <c r="AA364">
        <v>877</v>
      </c>
      <c r="AB364">
        <v>633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1030826</v>
      </c>
    </row>
    <row r="365" spans="1:50" x14ac:dyDescent="0.2">
      <c r="A365" t="s">
        <v>22</v>
      </c>
      <c r="C365">
        <v>363</v>
      </c>
      <c r="D365">
        <v>18</v>
      </c>
      <c r="E365" t="s">
        <v>445</v>
      </c>
      <c r="F365">
        <v>2014</v>
      </c>
      <c r="G365">
        <v>481429</v>
      </c>
      <c r="H365">
        <v>278304</v>
      </c>
      <c r="I365">
        <v>147606</v>
      </c>
      <c r="J365">
        <v>26650</v>
      </c>
      <c r="K365">
        <v>11122</v>
      </c>
      <c r="L365">
        <v>10338</v>
      </c>
      <c r="M365">
        <v>7678</v>
      </c>
      <c r="N365">
        <v>6250</v>
      </c>
      <c r="O365">
        <v>3473</v>
      </c>
      <c r="P365">
        <v>2642</v>
      </c>
      <c r="Q365">
        <v>1782</v>
      </c>
      <c r="R365">
        <v>1370</v>
      </c>
      <c r="S365">
        <v>1309</v>
      </c>
      <c r="T365">
        <v>1257</v>
      </c>
      <c r="U365">
        <v>944</v>
      </c>
      <c r="V365">
        <v>872</v>
      </c>
      <c r="W365">
        <v>862</v>
      </c>
      <c r="X365">
        <v>650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984538</v>
      </c>
    </row>
    <row r="366" spans="1:50" x14ac:dyDescent="0.2">
      <c r="A366" t="s">
        <v>22</v>
      </c>
      <c r="C366">
        <v>364</v>
      </c>
      <c r="D366">
        <v>16</v>
      </c>
      <c r="E366" t="s">
        <v>446</v>
      </c>
      <c r="F366">
        <v>2014</v>
      </c>
      <c r="G366">
        <v>429536</v>
      </c>
      <c r="H366">
        <v>301041</v>
      </c>
      <c r="I366">
        <v>279016</v>
      </c>
      <c r="J366">
        <v>28988</v>
      </c>
      <c r="K366">
        <v>12138</v>
      </c>
      <c r="L366">
        <v>8875</v>
      </c>
      <c r="M366">
        <v>6824</v>
      </c>
      <c r="N366">
        <v>5179</v>
      </c>
      <c r="O366">
        <v>4896</v>
      </c>
      <c r="P366">
        <v>3370</v>
      </c>
      <c r="Q366">
        <v>1772</v>
      </c>
      <c r="R366">
        <v>1543</v>
      </c>
      <c r="S366">
        <v>1523</v>
      </c>
      <c r="T366">
        <v>1469</v>
      </c>
      <c r="U366">
        <v>1182</v>
      </c>
      <c r="V366">
        <v>1071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1088423</v>
      </c>
    </row>
    <row r="367" spans="1:50" x14ac:dyDescent="0.2">
      <c r="A367" t="s">
        <v>22</v>
      </c>
      <c r="C367">
        <v>365</v>
      </c>
      <c r="D367">
        <v>20</v>
      </c>
      <c r="E367" t="s">
        <v>447</v>
      </c>
      <c r="F367">
        <v>2014</v>
      </c>
      <c r="G367">
        <v>513729</v>
      </c>
      <c r="H367">
        <v>236679</v>
      </c>
      <c r="I367">
        <v>144085</v>
      </c>
      <c r="J367">
        <v>58465</v>
      </c>
      <c r="K367">
        <v>13181</v>
      </c>
      <c r="L367">
        <v>11613</v>
      </c>
      <c r="M367">
        <v>7582</v>
      </c>
      <c r="N367">
        <v>7214</v>
      </c>
      <c r="O367">
        <v>6286</v>
      </c>
      <c r="P367">
        <v>4714</v>
      </c>
      <c r="Q367">
        <v>4149</v>
      </c>
      <c r="R367">
        <v>3654</v>
      </c>
      <c r="S367">
        <v>2643</v>
      </c>
      <c r="T367">
        <v>2327</v>
      </c>
      <c r="U367">
        <v>2303</v>
      </c>
      <c r="V367">
        <v>2028</v>
      </c>
      <c r="W367">
        <v>1994</v>
      </c>
      <c r="X367">
        <v>1066</v>
      </c>
      <c r="Y367">
        <v>1056</v>
      </c>
      <c r="Z367">
        <v>770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1025538</v>
      </c>
    </row>
    <row r="368" spans="1:50" x14ac:dyDescent="0.2">
      <c r="A368" t="s">
        <v>22</v>
      </c>
      <c r="C368">
        <v>366</v>
      </c>
      <c r="D368">
        <v>10</v>
      </c>
      <c r="E368" t="s">
        <v>448</v>
      </c>
      <c r="F368">
        <v>2014</v>
      </c>
      <c r="G368">
        <v>434174</v>
      </c>
      <c r="H368">
        <v>328095</v>
      </c>
      <c r="I368">
        <v>90313</v>
      </c>
      <c r="J368">
        <v>43506</v>
      </c>
      <c r="K368">
        <v>23967</v>
      </c>
      <c r="L368">
        <v>15662</v>
      </c>
      <c r="M368">
        <v>1851</v>
      </c>
      <c r="N368">
        <v>1847</v>
      </c>
      <c r="O368">
        <v>1754</v>
      </c>
      <c r="P368">
        <v>1033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942202</v>
      </c>
    </row>
    <row r="369" spans="1:50" x14ac:dyDescent="0.2">
      <c r="A369" t="s">
        <v>22</v>
      </c>
      <c r="C369">
        <v>367</v>
      </c>
      <c r="D369">
        <v>13</v>
      </c>
      <c r="E369" t="s">
        <v>449</v>
      </c>
      <c r="F369">
        <v>2014</v>
      </c>
      <c r="G369">
        <v>510307</v>
      </c>
      <c r="H369">
        <v>366188</v>
      </c>
      <c r="I369">
        <v>58521</v>
      </c>
      <c r="J369">
        <v>30232</v>
      </c>
      <c r="K369">
        <v>23215</v>
      </c>
      <c r="L369">
        <v>12212</v>
      </c>
      <c r="M369">
        <v>2511</v>
      </c>
      <c r="N369">
        <v>2253</v>
      </c>
      <c r="O369">
        <v>1830</v>
      </c>
      <c r="P369">
        <v>1511</v>
      </c>
      <c r="Q369">
        <v>1415</v>
      </c>
      <c r="R369">
        <v>1169</v>
      </c>
      <c r="S369">
        <v>894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1012258</v>
      </c>
    </row>
    <row r="370" spans="1:50" x14ac:dyDescent="0.2">
      <c r="A370" t="s">
        <v>22</v>
      </c>
      <c r="C370">
        <v>368</v>
      </c>
      <c r="D370">
        <v>28</v>
      </c>
      <c r="E370" t="s">
        <v>450</v>
      </c>
      <c r="F370">
        <v>2014</v>
      </c>
      <c r="G370">
        <v>475993</v>
      </c>
      <c r="H370">
        <v>246608</v>
      </c>
      <c r="I370">
        <v>133763</v>
      </c>
      <c r="J370">
        <v>104678</v>
      </c>
      <c r="K370">
        <v>20473</v>
      </c>
      <c r="L370">
        <v>8042</v>
      </c>
      <c r="M370">
        <v>4029</v>
      </c>
      <c r="N370">
        <v>3056</v>
      </c>
      <c r="O370">
        <v>3023</v>
      </c>
      <c r="P370">
        <v>3021</v>
      </c>
      <c r="Q370">
        <v>2987</v>
      </c>
      <c r="R370">
        <v>2196</v>
      </c>
      <c r="S370">
        <v>2131</v>
      </c>
      <c r="T370">
        <v>2100</v>
      </c>
      <c r="U370">
        <v>2050</v>
      </c>
      <c r="V370">
        <v>1699</v>
      </c>
      <c r="W370">
        <v>1438</v>
      </c>
      <c r="X370">
        <v>1337</v>
      </c>
      <c r="Y370">
        <v>1269</v>
      </c>
      <c r="Z370">
        <v>1007</v>
      </c>
      <c r="AA370">
        <v>949</v>
      </c>
      <c r="AB370">
        <v>873</v>
      </c>
      <c r="AC370">
        <v>837</v>
      </c>
      <c r="AD370">
        <v>794</v>
      </c>
      <c r="AE370">
        <v>741</v>
      </c>
      <c r="AF370">
        <v>736</v>
      </c>
      <c r="AG370">
        <v>641</v>
      </c>
      <c r="AH370">
        <v>565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1027036</v>
      </c>
    </row>
    <row r="371" spans="1:50" x14ac:dyDescent="0.2">
      <c r="A371" t="s">
        <v>22</v>
      </c>
      <c r="C371">
        <v>369</v>
      </c>
      <c r="D371">
        <v>32</v>
      </c>
      <c r="E371" t="s">
        <v>451</v>
      </c>
      <c r="F371">
        <v>2014</v>
      </c>
      <c r="G371">
        <v>453785</v>
      </c>
      <c r="H371">
        <v>254361</v>
      </c>
      <c r="I371">
        <v>146751</v>
      </c>
      <c r="J371">
        <v>32154</v>
      </c>
      <c r="K371">
        <v>30126</v>
      </c>
      <c r="L371">
        <v>19765</v>
      </c>
      <c r="M371">
        <v>6289</v>
      </c>
      <c r="N371">
        <v>5378</v>
      </c>
      <c r="O371">
        <v>4467</v>
      </c>
      <c r="P371">
        <v>2754</v>
      </c>
      <c r="Q371">
        <v>2740</v>
      </c>
      <c r="R371">
        <v>2054</v>
      </c>
      <c r="S371">
        <v>1563</v>
      </c>
      <c r="T371">
        <v>1474</v>
      </c>
      <c r="U371">
        <v>1253</v>
      </c>
      <c r="V371">
        <v>1226</v>
      </c>
      <c r="W371">
        <v>957</v>
      </c>
      <c r="X371">
        <v>900</v>
      </c>
      <c r="Y371">
        <v>719</v>
      </c>
      <c r="Z371">
        <v>666</v>
      </c>
      <c r="AA371">
        <v>572</v>
      </c>
      <c r="AB371">
        <v>565</v>
      </c>
      <c r="AC371">
        <v>556</v>
      </c>
      <c r="AD371">
        <v>483</v>
      </c>
      <c r="AE371">
        <v>448</v>
      </c>
      <c r="AF371">
        <v>432</v>
      </c>
      <c r="AG371">
        <v>430</v>
      </c>
      <c r="AH371">
        <v>424</v>
      </c>
      <c r="AI371">
        <v>423</v>
      </c>
      <c r="AJ371">
        <v>392</v>
      </c>
      <c r="AK371">
        <v>363</v>
      </c>
      <c r="AL371">
        <v>339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974809</v>
      </c>
    </row>
    <row r="372" spans="1:50" x14ac:dyDescent="0.2">
      <c r="A372" t="s">
        <v>22</v>
      </c>
      <c r="C372">
        <v>370</v>
      </c>
      <c r="D372">
        <v>24</v>
      </c>
      <c r="E372" t="s">
        <v>452</v>
      </c>
      <c r="F372">
        <v>2014</v>
      </c>
      <c r="G372">
        <v>571254</v>
      </c>
      <c r="H372">
        <v>256722</v>
      </c>
      <c r="I372">
        <v>134362</v>
      </c>
      <c r="J372">
        <v>71432</v>
      </c>
      <c r="K372">
        <v>10312</v>
      </c>
      <c r="L372">
        <v>5299</v>
      </c>
      <c r="M372">
        <v>3521</v>
      </c>
      <c r="N372">
        <v>3213</v>
      </c>
      <c r="O372">
        <v>2908</v>
      </c>
      <c r="P372">
        <v>2681</v>
      </c>
      <c r="Q372">
        <v>1954</v>
      </c>
      <c r="R372">
        <v>1349</v>
      </c>
      <c r="S372">
        <v>1273</v>
      </c>
      <c r="T372">
        <v>1107</v>
      </c>
      <c r="U372">
        <v>1082</v>
      </c>
      <c r="V372">
        <v>991</v>
      </c>
      <c r="W372">
        <v>946</v>
      </c>
      <c r="X372">
        <v>859</v>
      </c>
      <c r="Y372">
        <v>767</v>
      </c>
      <c r="Z372">
        <v>742</v>
      </c>
      <c r="AA372">
        <v>739</v>
      </c>
      <c r="AB372">
        <v>696</v>
      </c>
      <c r="AC372">
        <v>695</v>
      </c>
      <c r="AD372">
        <v>679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1075583</v>
      </c>
    </row>
    <row r="373" spans="1:50" x14ac:dyDescent="0.2">
      <c r="A373" t="s">
        <v>22</v>
      </c>
      <c r="C373">
        <v>371</v>
      </c>
      <c r="D373">
        <v>27</v>
      </c>
      <c r="E373" t="s">
        <v>453</v>
      </c>
      <c r="F373">
        <v>2014</v>
      </c>
      <c r="G373">
        <v>406694</v>
      </c>
      <c r="H373">
        <v>261143</v>
      </c>
      <c r="I373">
        <v>241505</v>
      </c>
      <c r="J373">
        <v>38482</v>
      </c>
      <c r="K373">
        <v>20157</v>
      </c>
      <c r="L373">
        <v>12225</v>
      </c>
      <c r="M373">
        <v>3470</v>
      </c>
      <c r="N373">
        <v>3411</v>
      </c>
      <c r="O373">
        <v>2721</v>
      </c>
      <c r="P373">
        <v>2522</v>
      </c>
      <c r="Q373">
        <v>2342</v>
      </c>
      <c r="R373">
        <v>2249</v>
      </c>
      <c r="S373">
        <v>1685</v>
      </c>
      <c r="T373">
        <v>1517</v>
      </c>
      <c r="U373">
        <v>1155</v>
      </c>
      <c r="V373">
        <v>1133</v>
      </c>
      <c r="W373">
        <v>1068</v>
      </c>
      <c r="X373">
        <v>1017</v>
      </c>
      <c r="Y373">
        <v>922</v>
      </c>
      <c r="Z373">
        <v>903</v>
      </c>
      <c r="AA373">
        <v>714</v>
      </c>
      <c r="AB373">
        <v>711</v>
      </c>
      <c r="AC373">
        <v>700</v>
      </c>
      <c r="AD373">
        <v>681</v>
      </c>
      <c r="AE373">
        <v>642</v>
      </c>
      <c r="AF373">
        <v>629</v>
      </c>
      <c r="AG373">
        <v>532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1010930</v>
      </c>
    </row>
    <row r="374" spans="1:50" x14ac:dyDescent="0.2">
      <c r="A374" t="s">
        <v>22</v>
      </c>
      <c r="C374">
        <v>372</v>
      </c>
      <c r="D374">
        <v>32</v>
      </c>
      <c r="E374" t="s">
        <v>454</v>
      </c>
      <c r="F374">
        <v>2014</v>
      </c>
      <c r="G374">
        <v>405945</v>
      </c>
      <c r="H374">
        <v>286621</v>
      </c>
      <c r="I374">
        <v>171082</v>
      </c>
      <c r="J374">
        <v>62160</v>
      </c>
      <c r="K374">
        <v>12541</v>
      </c>
      <c r="L374">
        <v>12312</v>
      </c>
      <c r="M374">
        <v>10945</v>
      </c>
      <c r="N374">
        <v>6279</v>
      </c>
      <c r="O374">
        <v>3969</v>
      </c>
      <c r="P374">
        <v>3471</v>
      </c>
      <c r="Q374">
        <v>3125</v>
      </c>
      <c r="R374">
        <v>2684</v>
      </c>
      <c r="S374">
        <v>2123</v>
      </c>
      <c r="T374">
        <v>1415</v>
      </c>
      <c r="U374">
        <v>1355</v>
      </c>
      <c r="V374">
        <v>1321</v>
      </c>
      <c r="W374">
        <v>1220</v>
      </c>
      <c r="X374">
        <v>1171</v>
      </c>
      <c r="Y374">
        <v>1129</v>
      </c>
      <c r="Z374">
        <v>1037</v>
      </c>
      <c r="AA374">
        <v>999</v>
      </c>
      <c r="AB374">
        <v>985</v>
      </c>
      <c r="AC374">
        <v>941</v>
      </c>
      <c r="AD374">
        <v>914</v>
      </c>
      <c r="AE374">
        <v>835</v>
      </c>
      <c r="AF374">
        <v>814</v>
      </c>
      <c r="AG374">
        <v>785</v>
      </c>
      <c r="AH374">
        <v>747</v>
      </c>
      <c r="AI374">
        <v>645</v>
      </c>
      <c r="AJ374">
        <v>577</v>
      </c>
      <c r="AK374">
        <v>478</v>
      </c>
      <c r="AL374">
        <v>423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1001048</v>
      </c>
    </row>
    <row r="375" spans="1:50" x14ac:dyDescent="0.2">
      <c r="A375" t="s">
        <v>22</v>
      </c>
      <c r="C375">
        <v>373</v>
      </c>
      <c r="D375">
        <v>15</v>
      </c>
      <c r="E375" t="s">
        <v>455</v>
      </c>
      <c r="F375">
        <v>2014</v>
      </c>
      <c r="G375">
        <v>366052</v>
      </c>
      <c r="H375">
        <v>242050</v>
      </c>
      <c r="I375">
        <v>182191</v>
      </c>
      <c r="J375">
        <v>63080</v>
      </c>
      <c r="K375">
        <v>26476</v>
      </c>
      <c r="L375">
        <v>14993</v>
      </c>
      <c r="M375">
        <v>11447</v>
      </c>
      <c r="N375">
        <v>3205</v>
      </c>
      <c r="O375">
        <v>1727</v>
      </c>
      <c r="P375">
        <v>1157</v>
      </c>
      <c r="Q375">
        <v>1129</v>
      </c>
      <c r="R375">
        <v>983</v>
      </c>
      <c r="S375">
        <v>784</v>
      </c>
      <c r="T375">
        <v>765</v>
      </c>
      <c r="U375">
        <v>739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916778</v>
      </c>
    </row>
    <row r="376" spans="1:50" x14ac:dyDescent="0.2">
      <c r="A376" t="s">
        <v>22</v>
      </c>
      <c r="C376">
        <v>374</v>
      </c>
      <c r="D376">
        <v>19</v>
      </c>
      <c r="E376" t="s">
        <v>456</v>
      </c>
      <c r="F376">
        <v>2014</v>
      </c>
      <c r="G376">
        <v>424586</v>
      </c>
      <c r="H376">
        <v>262812</v>
      </c>
      <c r="I376">
        <v>190233</v>
      </c>
      <c r="J376">
        <v>58963</v>
      </c>
      <c r="K376">
        <v>23528</v>
      </c>
      <c r="L376">
        <v>14492</v>
      </c>
      <c r="M376">
        <v>12115</v>
      </c>
      <c r="N376">
        <v>8022</v>
      </c>
      <c r="O376">
        <v>3904</v>
      </c>
      <c r="P376">
        <v>3331</v>
      </c>
      <c r="Q376">
        <v>2917</v>
      </c>
      <c r="R376">
        <v>2513</v>
      </c>
      <c r="S376">
        <v>2163</v>
      </c>
      <c r="T376">
        <v>1809</v>
      </c>
      <c r="U376">
        <v>1777</v>
      </c>
      <c r="V376">
        <v>1454</v>
      </c>
      <c r="W376">
        <v>1216</v>
      </c>
      <c r="X376">
        <v>1215</v>
      </c>
      <c r="Y376">
        <v>888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1017938</v>
      </c>
    </row>
    <row r="377" spans="1:50" x14ac:dyDescent="0.2">
      <c r="A377" t="s">
        <v>22</v>
      </c>
      <c r="C377">
        <v>375</v>
      </c>
      <c r="D377">
        <v>28</v>
      </c>
      <c r="E377" t="s">
        <v>457</v>
      </c>
      <c r="F377">
        <v>2014</v>
      </c>
      <c r="G377">
        <v>398139</v>
      </c>
      <c r="H377">
        <v>272040</v>
      </c>
      <c r="I377">
        <v>127370</v>
      </c>
      <c r="J377">
        <v>62863</v>
      </c>
      <c r="K377">
        <v>19381</v>
      </c>
      <c r="L377">
        <v>18353</v>
      </c>
      <c r="M377">
        <v>14877</v>
      </c>
      <c r="N377">
        <v>12893</v>
      </c>
      <c r="O377">
        <v>4692</v>
      </c>
      <c r="P377">
        <v>3394</v>
      </c>
      <c r="Q377">
        <v>3233</v>
      </c>
      <c r="R377">
        <v>3062</v>
      </c>
      <c r="S377">
        <v>2518</v>
      </c>
      <c r="T377">
        <v>1850</v>
      </c>
      <c r="U377">
        <v>1823</v>
      </c>
      <c r="V377">
        <v>1751</v>
      </c>
      <c r="W377">
        <v>1579</v>
      </c>
      <c r="X377">
        <v>1446</v>
      </c>
      <c r="Y377">
        <v>1391</v>
      </c>
      <c r="Z377">
        <v>1387</v>
      </c>
      <c r="AA377">
        <v>1281</v>
      </c>
      <c r="AB377">
        <v>1262</v>
      </c>
      <c r="AC377">
        <v>1196</v>
      </c>
      <c r="AD377">
        <v>1159</v>
      </c>
      <c r="AE377">
        <v>1052</v>
      </c>
      <c r="AF377">
        <v>947</v>
      </c>
      <c r="AG377">
        <v>740</v>
      </c>
      <c r="AH377">
        <v>651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962330</v>
      </c>
    </row>
    <row r="378" spans="1:50" x14ac:dyDescent="0.2">
      <c r="A378" t="s">
        <v>22</v>
      </c>
      <c r="C378">
        <v>376</v>
      </c>
      <c r="D378">
        <v>26</v>
      </c>
      <c r="E378" t="s">
        <v>458</v>
      </c>
      <c r="F378">
        <v>2014</v>
      </c>
      <c r="G378">
        <v>372906</v>
      </c>
      <c r="H378">
        <v>244244</v>
      </c>
      <c r="I378">
        <v>176239</v>
      </c>
      <c r="J378">
        <v>117933</v>
      </c>
      <c r="K378">
        <v>35284</v>
      </c>
      <c r="L378">
        <v>15314</v>
      </c>
      <c r="M378">
        <v>4150</v>
      </c>
      <c r="N378">
        <v>3851</v>
      </c>
      <c r="O378">
        <v>3236</v>
      </c>
      <c r="P378">
        <v>2391</v>
      </c>
      <c r="Q378">
        <v>1737</v>
      </c>
      <c r="R378">
        <v>1647</v>
      </c>
      <c r="S378">
        <v>1557</v>
      </c>
      <c r="T378">
        <v>1474</v>
      </c>
      <c r="U378">
        <v>1437</v>
      </c>
      <c r="V378">
        <v>1246</v>
      </c>
      <c r="W378">
        <v>955</v>
      </c>
      <c r="X378">
        <v>930</v>
      </c>
      <c r="Y378">
        <v>791</v>
      </c>
      <c r="Z378">
        <v>591</v>
      </c>
      <c r="AA378">
        <v>536</v>
      </c>
      <c r="AB378">
        <v>534</v>
      </c>
      <c r="AC378">
        <v>504</v>
      </c>
      <c r="AD378">
        <v>436</v>
      </c>
      <c r="AE378">
        <v>421</v>
      </c>
      <c r="AF378">
        <v>398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990742</v>
      </c>
    </row>
    <row r="379" spans="1:50" x14ac:dyDescent="0.2">
      <c r="A379" t="s">
        <v>24</v>
      </c>
      <c r="C379">
        <v>377</v>
      </c>
      <c r="D379">
        <v>14</v>
      </c>
      <c r="E379" t="s">
        <v>459</v>
      </c>
      <c r="F379">
        <v>2014</v>
      </c>
      <c r="G379">
        <v>671665</v>
      </c>
      <c r="H379">
        <v>168179</v>
      </c>
      <c r="I379">
        <v>117727</v>
      </c>
      <c r="J379">
        <v>54706</v>
      </c>
      <c r="K379">
        <v>12699</v>
      </c>
      <c r="L379">
        <v>11040</v>
      </c>
      <c r="M379">
        <v>8202</v>
      </c>
      <c r="N379">
        <v>5947</v>
      </c>
      <c r="O379">
        <v>4981</v>
      </c>
      <c r="P379">
        <v>4690</v>
      </c>
      <c r="Q379">
        <v>4226</v>
      </c>
      <c r="R379">
        <v>3747</v>
      </c>
      <c r="S379">
        <v>2879</v>
      </c>
      <c r="T379">
        <v>2061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1072749</v>
      </c>
    </row>
    <row r="380" spans="1:50" x14ac:dyDescent="0.2">
      <c r="A380" t="s">
        <v>24</v>
      </c>
      <c r="C380">
        <v>378</v>
      </c>
      <c r="D380">
        <v>13</v>
      </c>
      <c r="E380" t="s">
        <v>460</v>
      </c>
      <c r="F380">
        <v>2014</v>
      </c>
      <c r="G380">
        <v>623771</v>
      </c>
      <c r="H380">
        <v>139413</v>
      </c>
      <c r="I380">
        <v>77028</v>
      </c>
      <c r="J380">
        <v>60613</v>
      </c>
      <c r="K380">
        <v>11084</v>
      </c>
      <c r="L380">
        <v>10286</v>
      </c>
      <c r="M380">
        <v>5066</v>
      </c>
      <c r="N380">
        <v>4871</v>
      </c>
      <c r="O380">
        <v>4444</v>
      </c>
      <c r="P380">
        <v>4262</v>
      </c>
      <c r="Q380">
        <v>4152</v>
      </c>
      <c r="R380">
        <v>3086</v>
      </c>
      <c r="S380">
        <v>3004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951080</v>
      </c>
    </row>
    <row r="381" spans="1:50" x14ac:dyDescent="0.2">
      <c r="A381" t="s">
        <v>25</v>
      </c>
      <c r="C381">
        <v>379</v>
      </c>
      <c r="D381">
        <v>15</v>
      </c>
      <c r="E381" t="s">
        <v>461</v>
      </c>
      <c r="F381">
        <v>2014</v>
      </c>
      <c r="G381">
        <v>472999</v>
      </c>
      <c r="H381">
        <v>407909</v>
      </c>
      <c r="I381">
        <v>235033</v>
      </c>
      <c r="J381">
        <v>52765</v>
      </c>
      <c r="K381">
        <v>6267</v>
      </c>
      <c r="L381">
        <v>4068</v>
      </c>
      <c r="M381">
        <v>4057</v>
      </c>
      <c r="N381">
        <v>3065</v>
      </c>
      <c r="O381">
        <v>2114</v>
      </c>
      <c r="P381">
        <v>1888</v>
      </c>
      <c r="Q381">
        <v>1366</v>
      </c>
      <c r="R381">
        <v>1066</v>
      </c>
      <c r="S381">
        <v>692</v>
      </c>
      <c r="T381">
        <v>553</v>
      </c>
      <c r="U381">
        <v>466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1194308</v>
      </c>
    </row>
    <row r="382" spans="1:50" x14ac:dyDescent="0.2">
      <c r="A382" t="s">
        <v>25</v>
      </c>
      <c r="C382">
        <v>380</v>
      </c>
      <c r="D382">
        <v>12</v>
      </c>
      <c r="E382" t="s">
        <v>462</v>
      </c>
      <c r="F382">
        <v>2014</v>
      </c>
      <c r="G382">
        <v>565909</v>
      </c>
      <c r="H382">
        <v>329081</v>
      </c>
      <c r="I382">
        <v>160414</v>
      </c>
      <c r="J382">
        <v>42706</v>
      </c>
      <c r="K382">
        <v>6562</v>
      </c>
      <c r="L382">
        <v>3903</v>
      </c>
      <c r="M382">
        <v>2971</v>
      </c>
      <c r="N382">
        <v>2662</v>
      </c>
      <c r="O382">
        <v>1741</v>
      </c>
      <c r="P382">
        <v>1376</v>
      </c>
      <c r="Q382">
        <v>1050</v>
      </c>
      <c r="R382">
        <v>949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1119324</v>
      </c>
    </row>
    <row r="383" spans="1:50" x14ac:dyDescent="0.2">
      <c r="A383" t="s">
        <v>25</v>
      </c>
      <c r="C383">
        <v>381</v>
      </c>
      <c r="D383">
        <v>20</v>
      </c>
      <c r="E383" t="s">
        <v>463</v>
      </c>
      <c r="F383">
        <v>2014</v>
      </c>
      <c r="G383">
        <v>653391</v>
      </c>
      <c r="H383">
        <v>252241</v>
      </c>
      <c r="I383">
        <v>160810</v>
      </c>
      <c r="J383">
        <v>12937</v>
      </c>
      <c r="K383">
        <v>4739</v>
      </c>
      <c r="L383">
        <v>4129</v>
      </c>
      <c r="M383">
        <v>3482</v>
      </c>
      <c r="N383">
        <v>3431</v>
      </c>
      <c r="O383">
        <v>2238</v>
      </c>
      <c r="P383">
        <v>1933</v>
      </c>
      <c r="Q383">
        <v>1864</v>
      </c>
      <c r="R383">
        <v>1682</v>
      </c>
      <c r="S383">
        <v>845</v>
      </c>
      <c r="T383">
        <v>750</v>
      </c>
      <c r="U383">
        <v>723</v>
      </c>
      <c r="V383">
        <v>543</v>
      </c>
      <c r="W383">
        <v>499</v>
      </c>
      <c r="X383">
        <v>487</v>
      </c>
      <c r="Y383">
        <v>360</v>
      </c>
      <c r="Z383">
        <v>350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1107434</v>
      </c>
    </row>
    <row r="384" spans="1:50" x14ac:dyDescent="0.2">
      <c r="A384" t="s">
        <v>25</v>
      </c>
      <c r="C384">
        <v>382</v>
      </c>
      <c r="D384">
        <v>13</v>
      </c>
      <c r="E384" t="s">
        <v>464</v>
      </c>
      <c r="F384">
        <v>2014</v>
      </c>
      <c r="G384">
        <v>486913</v>
      </c>
      <c r="H384">
        <v>281139</v>
      </c>
      <c r="I384">
        <v>230124</v>
      </c>
      <c r="J384">
        <v>24348</v>
      </c>
      <c r="K384">
        <v>15801</v>
      </c>
      <c r="L384">
        <v>5775</v>
      </c>
      <c r="M384">
        <v>3317</v>
      </c>
      <c r="N384">
        <v>2967</v>
      </c>
      <c r="O384">
        <v>2545</v>
      </c>
      <c r="P384">
        <v>2483</v>
      </c>
      <c r="Q384">
        <v>2456</v>
      </c>
      <c r="R384">
        <v>1756</v>
      </c>
      <c r="S384">
        <v>722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1060346</v>
      </c>
    </row>
    <row r="385" spans="1:50" x14ac:dyDescent="0.2">
      <c r="A385" t="s">
        <v>25</v>
      </c>
      <c r="C385">
        <v>383</v>
      </c>
      <c r="D385">
        <v>15</v>
      </c>
      <c r="E385" t="s">
        <v>465</v>
      </c>
      <c r="F385">
        <v>2014</v>
      </c>
      <c r="G385">
        <v>367825</v>
      </c>
      <c r="H385">
        <v>275435</v>
      </c>
      <c r="I385">
        <v>245685</v>
      </c>
      <c r="J385">
        <v>21334</v>
      </c>
      <c r="K385">
        <v>6470</v>
      </c>
      <c r="L385">
        <v>4581</v>
      </c>
      <c r="M385">
        <v>4328</v>
      </c>
      <c r="N385">
        <v>3695</v>
      </c>
      <c r="O385">
        <v>3577</v>
      </c>
      <c r="P385">
        <v>2967</v>
      </c>
      <c r="Q385">
        <v>1845</v>
      </c>
      <c r="R385">
        <v>1714</v>
      </c>
      <c r="S385">
        <v>1027</v>
      </c>
      <c r="T385">
        <v>861</v>
      </c>
      <c r="U385">
        <v>852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942196</v>
      </c>
    </row>
    <row r="386" spans="1:50" x14ac:dyDescent="0.2">
      <c r="A386" t="s">
        <v>25</v>
      </c>
      <c r="C386">
        <v>384</v>
      </c>
      <c r="D386">
        <v>19</v>
      </c>
      <c r="E386" t="s">
        <v>466</v>
      </c>
      <c r="F386">
        <v>2014</v>
      </c>
      <c r="G386">
        <v>485224</v>
      </c>
      <c r="H386">
        <v>397720</v>
      </c>
      <c r="I386">
        <v>160945</v>
      </c>
      <c r="J386">
        <v>25840</v>
      </c>
      <c r="K386">
        <v>19732</v>
      </c>
      <c r="L386">
        <v>5647</v>
      </c>
      <c r="M386">
        <v>5207</v>
      </c>
      <c r="N386">
        <v>4469</v>
      </c>
      <c r="O386">
        <v>4097</v>
      </c>
      <c r="P386">
        <v>3180</v>
      </c>
      <c r="Q386">
        <v>3047</v>
      </c>
      <c r="R386">
        <v>2971</v>
      </c>
      <c r="S386">
        <v>2267</v>
      </c>
      <c r="T386">
        <v>1710</v>
      </c>
      <c r="U386">
        <v>1334</v>
      </c>
      <c r="V386">
        <v>1282</v>
      </c>
      <c r="W386">
        <v>1278</v>
      </c>
      <c r="X386">
        <v>1059</v>
      </c>
      <c r="Y386">
        <v>956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1127965</v>
      </c>
    </row>
    <row r="387" spans="1:50" x14ac:dyDescent="0.2">
      <c r="A387" t="s">
        <v>25</v>
      </c>
      <c r="C387">
        <v>385</v>
      </c>
      <c r="D387">
        <v>13</v>
      </c>
      <c r="E387" t="s">
        <v>467</v>
      </c>
      <c r="F387">
        <v>2014</v>
      </c>
      <c r="G387">
        <v>358616</v>
      </c>
      <c r="H387">
        <v>335181</v>
      </c>
      <c r="I387">
        <v>156466</v>
      </c>
      <c r="J387">
        <v>81006</v>
      </c>
      <c r="K387">
        <v>6905</v>
      </c>
      <c r="L387">
        <v>4473</v>
      </c>
      <c r="M387">
        <v>2505</v>
      </c>
      <c r="N387">
        <v>2448</v>
      </c>
      <c r="O387">
        <v>2079</v>
      </c>
      <c r="P387">
        <v>2063</v>
      </c>
      <c r="Q387">
        <v>1996</v>
      </c>
      <c r="R387">
        <v>1834</v>
      </c>
      <c r="S387">
        <v>817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956389</v>
      </c>
    </row>
    <row r="388" spans="1:50" x14ac:dyDescent="0.2">
      <c r="A388" t="s">
        <v>25</v>
      </c>
      <c r="C388">
        <v>386</v>
      </c>
      <c r="D388">
        <v>14</v>
      </c>
      <c r="E388" t="s">
        <v>468</v>
      </c>
      <c r="F388">
        <v>2014</v>
      </c>
      <c r="G388">
        <v>360242</v>
      </c>
      <c r="H388">
        <v>355068</v>
      </c>
      <c r="I388">
        <v>252640</v>
      </c>
      <c r="J388">
        <v>36134</v>
      </c>
      <c r="K388">
        <v>16034</v>
      </c>
      <c r="L388">
        <v>7658</v>
      </c>
      <c r="M388">
        <v>6686</v>
      </c>
      <c r="N388">
        <v>6376</v>
      </c>
      <c r="O388">
        <v>3833</v>
      </c>
      <c r="P388">
        <v>3648</v>
      </c>
      <c r="Q388">
        <v>2791</v>
      </c>
      <c r="R388">
        <v>2322</v>
      </c>
      <c r="S388">
        <v>2005</v>
      </c>
      <c r="T388">
        <v>1565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1057002</v>
      </c>
    </row>
    <row r="389" spans="1:50" x14ac:dyDescent="0.2">
      <c r="A389" t="s">
        <v>25</v>
      </c>
      <c r="C389">
        <v>387</v>
      </c>
      <c r="D389">
        <v>16</v>
      </c>
      <c r="E389" t="s">
        <v>469</v>
      </c>
      <c r="F389">
        <v>2014</v>
      </c>
      <c r="G389">
        <v>528880</v>
      </c>
      <c r="H389">
        <v>370666</v>
      </c>
      <c r="I389">
        <v>162983</v>
      </c>
      <c r="J389">
        <v>9539</v>
      </c>
      <c r="K389">
        <v>7779</v>
      </c>
      <c r="L389">
        <v>2601</v>
      </c>
      <c r="M389">
        <v>2493</v>
      </c>
      <c r="N389">
        <v>2448</v>
      </c>
      <c r="O389">
        <v>2425</v>
      </c>
      <c r="P389">
        <v>1431</v>
      </c>
      <c r="Q389">
        <v>980</v>
      </c>
      <c r="R389">
        <v>858</v>
      </c>
      <c r="S389">
        <v>837</v>
      </c>
      <c r="T389">
        <v>749</v>
      </c>
      <c r="U389">
        <v>713</v>
      </c>
      <c r="V389">
        <v>478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1095860</v>
      </c>
    </row>
    <row r="390" spans="1:50" x14ac:dyDescent="0.2">
      <c r="A390" t="s">
        <v>25</v>
      </c>
      <c r="C390">
        <v>388</v>
      </c>
      <c r="D390">
        <v>14</v>
      </c>
      <c r="E390" t="s">
        <v>470</v>
      </c>
      <c r="F390">
        <v>2014</v>
      </c>
      <c r="G390">
        <v>532981</v>
      </c>
      <c r="H390">
        <v>300655</v>
      </c>
      <c r="I390">
        <v>211759</v>
      </c>
      <c r="J390">
        <v>42911</v>
      </c>
      <c r="K390">
        <v>11793</v>
      </c>
      <c r="L390">
        <v>5213</v>
      </c>
      <c r="M390">
        <v>1734</v>
      </c>
      <c r="N390">
        <v>1542</v>
      </c>
      <c r="O390">
        <v>1451</v>
      </c>
      <c r="P390">
        <v>1063</v>
      </c>
      <c r="Q390">
        <v>818</v>
      </c>
      <c r="R390">
        <v>734</v>
      </c>
      <c r="S390">
        <v>382</v>
      </c>
      <c r="T390">
        <v>348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1113384</v>
      </c>
    </row>
    <row r="391" spans="1:50" x14ac:dyDescent="0.2">
      <c r="A391" t="s">
        <v>25</v>
      </c>
      <c r="C391">
        <v>389</v>
      </c>
      <c r="D391">
        <v>15</v>
      </c>
      <c r="E391" t="s">
        <v>471</v>
      </c>
      <c r="F391">
        <v>2014</v>
      </c>
      <c r="G391">
        <v>423475</v>
      </c>
      <c r="H391">
        <v>213609</v>
      </c>
      <c r="I391">
        <v>199516</v>
      </c>
      <c r="J391">
        <v>141743</v>
      </c>
      <c r="K391">
        <v>5828</v>
      </c>
      <c r="L391">
        <v>3915</v>
      </c>
      <c r="M391">
        <v>3911</v>
      </c>
      <c r="N391">
        <v>3025</v>
      </c>
      <c r="O391">
        <v>2708</v>
      </c>
      <c r="P391">
        <v>2092</v>
      </c>
      <c r="Q391">
        <v>1967</v>
      </c>
      <c r="R391">
        <v>992</v>
      </c>
      <c r="S391">
        <v>601</v>
      </c>
      <c r="T391">
        <v>441</v>
      </c>
      <c r="U391">
        <v>440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1004263</v>
      </c>
    </row>
    <row r="392" spans="1:50" x14ac:dyDescent="0.2">
      <c r="A392" t="s">
        <v>25</v>
      </c>
      <c r="C392">
        <v>390</v>
      </c>
      <c r="D392">
        <v>16</v>
      </c>
      <c r="E392" t="s">
        <v>472</v>
      </c>
      <c r="F392">
        <v>2014</v>
      </c>
      <c r="G392">
        <v>758482</v>
      </c>
      <c r="H392">
        <v>191222</v>
      </c>
      <c r="I392">
        <v>173085</v>
      </c>
      <c r="J392">
        <v>106984</v>
      </c>
      <c r="K392">
        <v>89147</v>
      </c>
      <c r="L392">
        <v>6205</v>
      </c>
      <c r="M392">
        <v>4639</v>
      </c>
      <c r="N392">
        <v>3409</v>
      </c>
      <c r="O392">
        <v>1591</v>
      </c>
      <c r="P392">
        <v>1548</v>
      </c>
      <c r="Q392">
        <v>1486</v>
      </c>
      <c r="R392">
        <v>1185</v>
      </c>
      <c r="S392">
        <v>1094</v>
      </c>
      <c r="T392">
        <v>992</v>
      </c>
      <c r="U392">
        <v>628</v>
      </c>
      <c r="V392">
        <v>624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1342321</v>
      </c>
    </row>
    <row r="393" spans="1:50" x14ac:dyDescent="0.2">
      <c r="A393" t="s">
        <v>25</v>
      </c>
      <c r="C393">
        <v>391</v>
      </c>
      <c r="D393">
        <v>25</v>
      </c>
      <c r="E393" t="s">
        <v>473</v>
      </c>
      <c r="F393">
        <v>2014</v>
      </c>
      <c r="G393">
        <v>599702</v>
      </c>
      <c r="H393">
        <v>319490</v>
      </c>
      <c r="I393">
        <v>198237</v>
      </c>
      <c r="J393">
        <v>32358</v>
      </c>
      <c r="K393">
        <v>12727</v>
      </c>
      <c r="L393">
        <v>4506</v>
      </c>
      <c r="M393">
        <v>4198</v>
      </c>
      <c r="N393">
        <v>4130</v>
      </c>
      <c r="O393">
        <v>3836</v>
      </c>
      <c r="P393">
        <v>3496</v>
      </c>
      <c r="Q393">
        <v>2684</v>
      </c>
      <c r="R393">
        <v>2530</v>
      </c>
      <c r="S393">
        <v>1526</v>
      </c>
      <c r="T393">
        <v>1225</v>
      </c>
      <c r="U393">
        <v>1183</v>
      </c>
      <c r="V393">
        <v>996</v>
      </c>
      <c r="W393">
        <v>978</v>
      </c>
      <c r="X393">
        <v>977</v>
      </c>
      <c r="Y393">
        <v>788</v>
      </c>
      <c r="Z393">
        <v>773</v>
      </c>
      <c r="AA393">
        <v>656</v>
      </c>
      <c r="AB393">
        <v>649</v>
      </c>
      <c r="AC393">
        <v>623</v>
      </c>
      <c r="AD393">
        <v>503</v>
      </c>
      <c r="AE393">
        <v>491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1199262</v>
      </c>
    </row>
    <row r="394" spans="1:50" x14ac:dyDescent="0.2">
      <c r="A394" t="s">
        <v>25</v>
      </c>
      <c r="C394">
        <v>392</v>
      </c>
      <c r="D394">
        <v>11</v>
      </c>
      <c r="E394" t="s">
        <v>474</v>
      </c>
      <c r="F394">
        <v>2014</v>
      </c>
      <c r="G394">
        <v>604449</v>
      </c>
      <c r="H394">
        <v>182476</v>
      </c>
      <c r="I394">
        <v>128737</v>
      </c>
      <c r="J394">
        <v>59116</v>
      </c>
      <c r="K394">
        <v>9727</v>
      </c>
      <c r="L394">
        <v>6915</v>
      </c>
      <c r="M394">
        <v>5690</v>
      </c>
      <c r="N394">
        <v>4448</v>
      </c>
      <c r="O394">
        <v>4117</v>
      </c>
      <c r="P394">
        <v>2580</v>
      </c>
      <c r="Q394">
        <v>1455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1009710</v>
      </c>
    </row>
    <row r="395" spans="1:50" x14ac:dyDescent="0.2">
      <c r="A395" t="s">
        <v>25</v>
      </c>
      <c r="C395">
        <v>393</v>
      </c>
      <c r="D395">
        <v>15</v>
      </c>
      <c r="E395" t="s">
        <v>475</v>
      </c>
      <c r="F395">
        <v>2014</v>
      </c>
      <c r="G395">
        <v>514622</v>
      </c>
      <c r="H395">
        <v>227886</v>
      </c>
      <c r="I395">
        <v>226284</v>
      </c>
      <c r="J395">
        <v>62674</v>
      </c>
      <c r="K395">
        <v>8978</v>
      </c>
      <c r="L395">
        <v>6183</v>
      </c>
      <c r="M395">
        <v>4659</v>
      </c>
      <c r="N395">
        <v>3376</v>
      </c>
      <c r="O395">
        <v>3076</v>
      </c>
      <c r="P395">
        <v>1842</v>
      </c>
      <c r="Q395">
        <v>1723</v>
      </c>
      <c r="R395">
        <v>978</v>
      </c>
      <c r="S395">
        <v>785</v>
      </c>
      <c r="T395">
        <v>665</v>
      </c>
      <c r="U395">
        <v>626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1064357</v>
      </c>
    </row>
    <row r="396" spans="1:50" x14ac:dyDescent="0.2">
      <c r="A396" t="s">
        <v>25</v>
      </c>
      <c r="C396">
        <v>394</v>
      </c>
      <c r="D396">
        <v>10</v>
      </c>
      <c r="E396" t="s">
        <v>476</v>
      </c>
      <c r="F396">
        <v>2014</v>
      </c>
      <c r="G396">
        <v>544277</v>
      </c>
      <c r="H396">
        <v>217891</v>
      </c>
      <c r="I396">
        <v>180891</v>
      </c>
      <c r="J396">
        <v>86109</v>
      </c>
      <c r="K396">
        <v>5669</v>
      </c>
      <c r="L396">
        <v>5043</v>
      </c>
      <c r="M396">
        <v>2847</v>
      </c>
      <c r="N396">
        <v>2778</v>
      </c>
      <c r="O396">
        <v>2169</v>
      </c>
      <c r="P396">
        <v>1599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1049273</v>
      </c>
    </row>
    <row r="397" spans="1:50" x14ac:dyDescent="0.2">
      <c r="A397" t="s">
        <v>25</v>
      </c>
      <c r="C397">
        <v>395</v>
      </c>
      <c r="D397">
        <v>21</v>
      </c>
      <c r="E397" t="s">
        <v>477</v>
      </c>
      <c r="F397">
        <v>2014</v>
      </c>
      <c r="G397">
        <v>574633</v>
      </c>
      <c r="H397">
        <v>243890</v>
      </c>
      <c r="I397">
        <v>173572</v>
      </c>
      <c r="J397">
        <v>36673</v>
      </c>
      <c r="K397">
        <v>10158</v>
      </c>
      <c r="L397">
        <v>7858</v>
      </c>
      <c r="M397">
        <v>4795</v>
      </c>
      <c r="N397">
        <v>2847</v>
      </c>
      <c r="O397">
        <v>2715</v>
      </c>
      <c r="P397">
        <v>2675</v>
      </c>
      <c r="Q397">
        <v>2396</v>
      </c>
      <c r="R397">
        <v>2160</v>
      </c>
      <c r="S397">
        <v>2082</v>
      </c>
      <c r="T397">
        <v>1953</v>
      </c>
      <c r="U397">
        <v>1858</v>
      </c>
      <c r="V397">
        <v>1759</v>
      </c>
      <c r="W397">
        <v>1338</v>
      </c>
      <c r="X397">
        <v>1066</v>
      </c>
      <c r="Y397">
        <v>1054</v>
      </c>
      <c r="Z397">
        <v>731</v>
      </c>
      <c r="AA397">
        <v>655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1076868</v>
      </c>
    </row>
    <row r="398" spans="1:50" x14ac:dyDescent="0.2">
      <c r="A398" t="s">
        <v>25</v>
      </c>
      <c r="C398">
        <v>396</v>
      </c>
      <c r="D398">
        <v>16</v>
      </c>
      <c r="E398" t="s">
        <v>478</v>
      </c>
      <c r="F398">
        <v>2014</v>
      </c>
      <c r="G398">
        <v>583716</v>
      </c>
      <c r="H398">
        <v>283453</v>
      </c>
      <c r="I398">
        <v>134708</v>
      </c>
      <c r="J398">
        <v>34834</v>
      </c>
      <c r="K398">
        <v>7804</v>
      </c>
      <c r="L398">
        <v>5191</v>
      </c>
      <c r="M398">
        <v>4243</v>
      </c>
      <c r="N398">
        <v>3657</v>
      </c>
      <c r="O398">
        <v>3646</v>
      </c>
      <c r="P398">
        <v>2584</v>
      </c>
      <c r="Q398">
        <v>2453</v>
      </c>
      <c r="R398">
        <v>1416</v>
      </c>
      <c r="S398">
        <v>771</v>
      </c>
      <c r="T398">
        <v>765</v>
      </c>
      <c r="U398">
        <v>602</v>
      </c>
      <c r="V398">
        <v>557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1070400</v>
      </c>
    </row>
    <row r="399" spans="1:50" x14ac:dyDescent="0.2">
      <c r="A399" t="s">
        <v>25</v>
      </c>
      <c r="C399">
        <v>397</v>
      </c>
      <c r="D399">
        <v>29</v>
      </c>
      <c r="E399" t="s">
        <v>479</v>
      </c>
      <c r="F399">
        <v>2014</v>
      </c>
      <c r="G399">
        <v>426589</v>
      </c>
      <c r="H399">
        <v>253483</v>
      </c>
      <c r="I399">
        <v>213397</v>
      </c>
      <c r="J399">
        <v>24185</v>
      </c>
      <c r="K399">
        <v>5223</v>
      </c>
      <c r="L399">
        <v>3809</v>
      </c>
      <c r="M399">
        <v>3512</v>
      </c>
      <c r="N399">
        <v>3184</v>
      </c>
      <c r="O399">
        <v>3117</v>
      </c>
      <c r="P399">
        <v>3101</v>
      </c>
      <c r="Q399">
        <v>2725</v>
      </c>
      <c r="R399">
        <v>2677</v>
      </c>
      <c r="S399">
        <v>2553</v>
      </c>
      <c r="T399">
        <v>2356</v>
      </c>
      <c r="U399">
        <v>2235</v>
      </c>
      <c r="V399">
        <v>2057</v>
      </c>
      <c r="W399">
        <v>2052</v>
      </c>
      <c r="X399">
        <v>1657</v>
      </c>
      <c r="Y399">
        <v>1571</v>
      </c>
      <c r="Z399">
        <v>1529</v>
      </c>
      <c r="AA399">
        <v>1063</v>
      </c>
      <c r="AB399">
        <v>1006</v>
      </c>
      <c r="AC399">
        <v>951</v>
      </c>
      <c r="AD399">
        <v>872</v>
      </c>
      <c r="AE399">
        <v>691</v>
      </c>
      <c r="AF399">
        <v>650</v>
      </c>
      <c r="AG399">
        <v>643</v>
      </c>
      <c r="AH399">
        <v>583</v>
      </c>
      <c r="AI399">
        <v>497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967968</v>
      </c>
    </row>
    <row r="400" spans="1:50" x14ac:dyDescent="0.2">
      <c r="A400" t="s">
        <v>25</v>
      </c>
      <c r="C400">
        <v>398</v>
      </c>
      <c r="D400">
        <v>16</v>
      </c>
      <c r="E400" t="s">
        <v>480</v>
      </c>
      <c r="F400">
        <v>2014</v>
      </c>
      <c r="G400">
        <v>534583</v>
      </c>
      <c r="H400">
        <v>420524</v>
      </c>
      <c r="I400">
        <v>118909</v>
      </c>
      <c r="J400">
        <v>7447</v>
      </c>
      <c r="K400">
        <v>4654</v>
      </c>
      <c r="L400">
        <v>3696</v>
      </c>
      <c r="M400">
        <v>3526</v>
      </c>
      <c r="N400">
        <v>2808</v>
      </c>
      <c r="O400">
        <v>2425</v>
      </c>
      <c r="P400">
        <v>1470</v>
      </c>
      <c r="Q400">
        <v>1248</v>
      </c>
      <c r="R400">
        <v>939</v>
      </c>
      <c r="S400">
        <v>753</v>
      </c>
      <c r="T400">
        <v>620</v>
      </c>
      <c r="U400">
        <v>506</v>
      </c>
      <c r="V400">
        <v>498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1104606</v>
      </c>
    </row>
    <row r="401" spans="1:50" x14ac:dyDescent="0.2">
      <c r="A401" t="s">
        <v>25</v>
      </c>
      <c r="C401">
        <v>399</v>
      </c>
      <c r="D401">
        <v>14</v>
      </c>
      <c r="E401" t="s">
        <v>481</v>
      </c>
      <c r="F401">
        <v>2014</v>
      </c>
      <c r="G401">
        <v>595918</v>
      </c>
      <c r="H401">
        <v>231252</v>
      </c>
      <c r="I401">
        <v>142833</v>
      </c>
      <c r="J401">
        <v>6323</v>
      </c>
      <c r="K401">
        <v>5645</v>
      </c>
      <c r="L401">
        <v>5588</v>
      </c>
      <c r="M401">
        <v>2542</v>
      </c>
      <c r="N401">
        <v>2279</v>
      </c>
      <c r="O401">
        <v>2095</v>
      </c>
      <c r="P401">
        <v>1746</v>
      </c>
      <c r="Q401">
        <v>916</v>
      </c>
      <c r="R401">
        <v>872</v>
      </c>
      <c r="S401">
        <v>695</v>
      </c>
      <c r="T401">
        <v>561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999265</v>
      </c>
    </row>
    <row r="402" spans="1:50" x14ac:dyDescent="0.2">
      <c r="A402" t="s">
        <v>25</v>
      </c>
      <c r="C402">
        <v>400</v>
      </c>
      <c r="D402">
        <v>12</v>
      </c>
      <c r="E402" t="s">
        <v>482</v>
      </c>
      <c r="F402">
        <v>2014</v>
      </c>
      <c r="G402">
        <v>474978</v>
      </c>
      <c r="H402">
        <v>273977</v>
      </c>
      <c r="I402">
        <v>137127</v>
      </c>
      <c r="J402">
        <v>12445</v>
      </c>
      <c r="K402">
        <v>7123</v>
      </c>
      <c r="L402">
        <v>6201</v>
      </c>
      <c r="M402">
        <v>5848</v>
      </c>
      <c r="N402">
        <v>2186</v>
      </c>
      <c r="O402">
        <v>2034</v>
      </c>
      <c r="P402">
        <v>2008</v>
      </c>
      <c r="Q402">
        <v>1333</v>
      </c>
      <c r="R402">
        <v>1021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926281</v>
      </c>
    </row>
    <row r="403" spans="1:50" x14ac:dyDescent="0.2">
      <c r="A403" t="s">
        <v>25</v>
      </c>
      <c r="C403">
        <v>401</v>
      </c>
      <c r="D403">
        <v>16</v>
      </c>
      <c r="E403" t="s">
        <v>483</v>
      </c>
      <c r="F403">
        <v>2014</v>
      </c>
      <c r="G403">
        <v>498378</v>
      </c>
      <c r="H403">
        <v>332031</v>
      </c>
      <c r="I403">
        <v>156973</v>
      </c>
      <c r="J403">
        <v>6286</v>
      </c>
      <c r="K403">
        <v>5748</v>
      </c>
      <c r="L403">
        <v>5651</v>
      </c>
      <c r="M403">
        <v>4195</v>
      </c>
      <c r="N403">
        <v>4083</v>
      </c>
      <c r="O403">
        <v>3421</v>
      </c>
      <c r="P403">
        <v>2861</v>
      </c>
      <c r="Q403">
        <v>2065</v>
      </c>
      <c r="R403">
        <v>1993</v>
      </c>
      <c r="S403">
        <v>1448</v>
      </c>
      <c r="T403">
        <v>860</v>
      </c>
      <c r="U403">
        <v>810</v>
      </c>
      <c r="V403">
        <v>791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1027594</v>
      </c>
    </row>
    <row r="404" spans="1:50" x14ac:dyDescent="0.2">
      <c r="A404" t="s">
        <v>25</v>
      </c>
      <c r="C404">
        <v>402</v>
      </c>
      <c r="D404">
        <v>14</v>
      </c>
      <c r="E404" t="s">
        <v>484</v>
      </c>
      <c r="F404">
        <v>2014</v>
      </c>
      <c r="G404">
        <v>409907</v>
      </c>
      <c r="H404">
        <v>271478</v>
      </c>
      <c r="I404">
        <v>190200</v>
      </c>
      <c r="J404">
        <v>93861</v>
      </c>
      <c r="K404">
        <v>10496</v>
      </c>
      <c r="L404">
        <v>4332</v>
      </c>
      <c r="M404">
        <v>3019</v>
      </c>
      <c r="N404">
        <v>2711</v>
      </c>
      <c r="O404">
        <v>2697</v>
      </c>
      <c r="P404">
        <v>2304</v>
      </c>
      <c r="Q404">
        <v>1440</v>
      </c>
      <c r="R404">
        <v>1189</v>
      </c>
      <c r="S404">
        <v>1152</v>
      </c>
      <c r="T404">
        <v>855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995641</v>
      </c>
    </row>
    <row r="405" spans="1:50" x14ac:dyDescent="0.2">
      <c r="A405" t="s">
        <v>25</v>
      </c>
      <c r="C405">
        <v>403</v>
      </c>
      <c r="D405">
        <v>15</v>
      </c>
      <c r="E405" t="s">
        <v>485</v>
      </c>
      <c r="F405">
        <v>2014</v>
      </c>
      <c r="G405">
        <v>518258</v>
      </c>
      <c r="H405">
        <v>277573</v>
      </c>
      <c r="I405">
        <v>106049</v>
      </c>
      <c r="J405">
        <v>84213</v>
      </c>
      <c r="K405">
        <v>7639</v>
      </c>
      <c r="L405">
        <v>6737</v>
      </c>
      <c r="M405">
        <v>3703</v>
      </c>
      <c r="N405">
        <v>3338</v>
      </c>
      <c r="O405">
        <v>2038</v>
      </c>
      <c r="P405">
        <v>1885</v>
      </c>
      <c r="Q405">
        <v>1806</v>
      </c>
      <c r="R405">
        <v>1567</v>
      </c>
      <c r="S405">
        <v>1402</v>
      </c>
      <c r="T405">
        <v>964</v>
      </c>
      <c r="U405">
        <v>719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1017891</v>
      </c>
    </row>
    <row r="406" spans="1:50" x14ac:dyDescent="0.2">
      <c r="A406" t="s">
        <v>25</v>
      </c>
      <c r="C406">
        <v>404</v>
      </c>
      <c r="D406">
        <v>13</v>
      </c>
      <c r="E406" t="s">
        <v>486</v>
      </c>
      <c r="F406">
        <v>2014</v>
      </c>
      <c r="G406">
        <v>546934</v>
      </c>
      <c r="H406">
        <v>239882</v>
      </c>
      <c r="I406">
        <v>196294</v>
      </c>
      <c r="J406">
        <v>29169</v>
      </c>
      <c r="K406">
        <v>11521</v>
      </c>
      <c r="L406">
        <v>6151</v>
      </c>
      <c r="M406">
        <v>5547</v>
      </c>
      <c r="N406">
        <v>3187</v>
      </c>
      <c r="O406">
        <v>3145</v>
      </c>
      <c r="P406">
        <v>2670</v>
      </c>
      <c r="Q406">
        <v>2617</v>
      </c>
      <c r="R406">
        <v>2170</v>
      </c>
      <c r="S406">
        <v>1260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1050547</v>
      </c>
    </row>
    <row r="407" spans="1:50" x14ac:dyDescent="0.2">
      <c r="A407" t="s">
        <v>25</v>
      </c>
      <c r="C407">
        <v>405</v>
      </c>
      <c r="D407">
        <v>14</v>
      </c>
      <c r="E407" t="s">
        <v>487</v>
      </c>
      <c r="F407">
        <v>2014</v>
      </c>
      <c r="G407">
        <v>525132</v>
      </c>
      <c r="H407">
        <v>289603</v>
      </c>
      <c r="I407">
        <v>242913</v>
      </c>
      <c r="J407">
        <v>27011</v>
      </c>
      <c r="K407">
        <v>12945</v>
      </c>
      <c r="L407">
        <v>9964</v>
      </c>
      <c r="M407">
        <v>7871</v>
      </c>
      <c r="N407">
        <v>3610</v>
      </c>
      <c r="O407">
        <v>2790</v>
      </c>
      <c r="P407">
        <v>2522</v>
      </c>
      <c r="Q407">
        <v>1613</v>
      </c>
      <c r="R407">
        <v>1384</v>
      </c>
      <c r="S407">
        <v>1378</v>
      </c>
      <c r="T407">
        <v>1105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1129841</v>
      </c>
    </row>
    <row r="408" spans="1:50" x14ac:dyDescent="0.2">
      <c r="A408" t="s">
        <v>25</v>
      </c>
      <c r="C408">
        <v>406</v>
      </c>
      <c r="D408">
        <v>12</v>
      </c>
      <c r="E408" t="s">
        <v>488</v>
      </c>
      <c r="F408">
        <v>2014</v>
      </c>
      <c r="G408">
        <v>398578</v>
      </c>
      <c r="H408">
        <v>288304</v>
      </c>
      <c r="I408">
        <v>183940</v>
      </c>
      <c r="J408">
        <v>160112</v>
      </c>
      <c r="K408">
        <v>16401</v>
      </c>
      <c r="L408">
        <v>12031</v>
      </c>
      <c r="M408">
        <v>3514</v>
      </c>
      <c r="N408">
        <v>3230</v>
      </c>
      <c r="O408">
        <v>3165</v>
      </c>
      <c r="P408">
        <v>3124</v>
      </c>
      <c r="Q408">
        <v>2861</v>
      </c>
      <c r="R408">
        <v>2608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1077868</v>
      </c>
    </row>
    <row r="409" spans="1:50" x14ac:dyDescent="0.2">
      <c r="A409" t="s">
        <v>25</v>
      </c>
      <c r="C409">
        <v>407</v>
      </c>
      <c r="D409">
        <v>16</v>
      </c>
      <c r="E409" t="s">
        <v>489</v>
      </c>
      <c r="F409">
        <v>2014</v>
      </c>
      <c r="G409">
        <v>360357</v>
      </c>
      <c r="H409">
        <v>234682</v>
      </c>
      <c r="I409">
        <v>234032</v>
      </c>
      <c r="J409">
        <v>170994</v>
      </c>
      <c r="K409">
        <v>12776</v>
      </c>
      <c r="L409">
        <v>9967</v>
      </c>
      <c r="M409">
        <v>8138</v>
      </c>
      <c r="N409">
        <v>6144</v>
      </c>
      <c r="O409">
        <v>4021</v>
      </c>
      <c r="P409">
        <v>3745</v>
      </c>
      <c r="Q409">
        <v>3491</v>
      </c>
      <c r="R409">
        <v>3333</v>
      </c>
      <c r="S409">
        <v>2788</v>
      </c>
      <c r="T409">
        <v>2144</v>
      </c>
      <c r="U409">
        <v>1929</v>
      </c>
      <c r="V409">
        <v>1730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1060271</v>
      </c>
    </row>
    <row r="410" spans="1:50" x14ac:dyDescent="0.2">
      <c r="A410" t="s">
        <v>25</v>
      </c>
      <c r="C410">
        <v>408</v>
      </c>
      <c r="D410">
        <v>17</v>
      </c>
      <c r="E410" t="s">
        <v>490</v>
      </c>
      <c r="F410">
        <v>2014</v>
      </c>
      <c r="G410">
        <v>417546</v>
      </c>
      <c r="H410">
        <v>366519</v>
      </c>
      <c r="I410">
        <v>156170</v>
      </c>
      <c r="J410">
        <v>29104</v>
      </c>
      <c r="K410">
        <v>12682</v>
      </c>
      <c r="L410">
        <v>8959</v>
      </c>
      <c r="M410">
        <v>8089</v>
      </c>
      <c r="N410">
        <v>6646</v>
      </c>
      <c r="O410">
        <v>3575</v>
      </c>
      <c r="P410">
        <v>2550</v>
      </c>
      <c r="Q410">
        <v>2504</v>
      </c>
      <c r="R410">
        <v>2373</v>
      </c>
      <c r="S410">
        <v>2319</v>
      </c>
      <c r="T410">
        <v>2205</v>
      </c>
      <c r="U410">
        <v>2195</v>
      </c>
      <c r="V410">
        <v>1992</v>
      </c>
      <c r="W410">
        <v>1544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1026972</v>
      </c>
    </row>
    <row r="411" spans="1:50" x14ac:dyDescent="0.2">
      <c r="A411" t="s">
        <v>25</v>
      </c>
      <c r="C411">
        <v>409</v>
      </c>
      <c r="D411">
        <v>16</v>
      </c>
      <c r="E411" t="s">
        <v>491</v>
      </c>
      <c r="F411">
        <v>2014</v>
      </c>
      <c r="G411">
        <v>360501</v>
      </c>
      <c r="H411">
        <v>279158</v>
      </c>
      <c r="I411">
        <v>276543</v>
      </c>
      <c r="J411">
        <v>23298</v>
      </c>
      <c r="K411">
        <v>7660</v>
      </c>
      <c r="L411">
        <v>4740</v>
      </c>
      <c r="M411">
        <v>4130</v>
      </c>
      <c r="N411">
        <v>4045</v>
      </c>
      <c r="O411">
        <v>3287</v>
      </c>
      <c r="P411">
        <v>2003</v>
      </c>
      <c r="Q411">
        <v>1669</v>
      </c>
      <c r="R411">
        <v>1576</v>
      </c>
      <c r="S411">
        <v>1326</v>
      </c>
      <c r="T411">
        <v>1296</v>
      </c>
      <c r="U411">
        <v>834</v>
      </c>
      <c r="V411">
        <v>830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972896</v>
      </c>
    </row>
    <row r="412" spans="1:50" x14ac:dyDescent="0.2">
      <c r="A412" t="s">
        <v>25</v>
      </c>
      <c r="C412">
        <v>410</v>
      </c>
      <c r="D412">
        <v>15</v>
      </c>
      <c r="E412" t="s">
        <v>492</v>
      </c>
      <c r="F412">
        <v>2014</v>
      </c>
      <c r="G412">
        <v>412575</v>
      </c>
      <c r="H412">
        <v>325212</v>
      </c>
      <c r="I412">
        <v>194759</v>
      </c>
      <c r="J412">
        <v>33075</v>
      </c>
      <c r="K412">
        <v>9633</v>
      </c>
      <c r="L412">
        <v>8635</v>
      </c>
      <c r="M412">
        <v>2970</v>
      </c>
      <c r="N412">
        <v>2773</v>
      </c>
      <c r="O412">
        <v>2234</v>
      </c>
      <c r="P412">
        <v>1785</v>
      </c>
      <c r="Q412">
        <v>1158</v>
      </c>
      <c r="R412">
        <v>1003</v>
      </c>
      <c r="S412">
        <v>951</v>
      </c>
      <c r="T412">
        <v>847</v>
      </c>
      <c r="U412">
        <v>704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998314</v>
      </c>
    </row>
    <row r="413" spans="1:50" x14ac:dyDescent="0.2">
      <c r="A413" t="s">
        <v>25</v>
      </c>
      <c r="C413">
        <v>411</v>
      </c>
      <c r="D413">
        <v>22</v>
      </c>
      <c r="E413" t="s">
        <v>493</v>
      </c>
      <c r="F413">
        <v>2014</v>
      </c>
      <c r="G413">
        <v>518834</v>
      </c>
      <c r="H413">
        <v>208661</v>
      </c>
      <c r="I413">
        <v>200176</v>
      </c>
      <c r="J413">
        <v>197098</v>
      </c>
      <c r="K413">
        <v>9618</v>
      </c>
      <c r="L413">
        <v>9277</v>
      </c>
      <c r="M413">
        <v>5871</v>
      </c>
      <c r="N413">
        <v>5128</v>
      </c>
      <c r="O413">
        <v>4626</v>
      </c>
      <c r="P413">
        <v>4401</v>
      </c>
      <c r="Q413">
        <v>4214</v>
      </c>
      <c r="R413">
        <v>4148</v>
      </c>
      <c r="S413">
        <v>3987</v>
      </c>
      <c r="T413">
        <v>3978</v>
      </c>
      <c r="U413">
        <v>3472</v>
      </c>
      <c r="V413">
        <v>3398</v>
      </c>
      <c r="W413">
        <v>3214</v>
      </c>
      <c r="X413">
        <v>2771</v>
      </c>
      <c r="Y413">
        <v>2592</v>
      </c>
      <c r="Z413">
        <v>2440</v>
      </c>
      <c r="AA413">
        <v>1881</v>
      </c>
      <c r="AB413">
        <v>1818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1201603</v>
      </c>
    </row>
    <row r="414" spans="1:50" x14ac:dyDescent="0.2">
      <c r="A414" t="s">
        <v>25</v>
      </c>
      <c r="C414">
        <v>412</v>
      </c>
      <c r="D414">
        <v>19</v>
      </c>
      <c r="E414" t="s">
        <v>494</v>
      </c>
      <c r="F414">
        <v>2014</v>
      </c>
      <c r="G414">
        <v>455274</v>
      </c>
      <c r="H414">
        <v>309858</v>
      </c>
      <c r="I414">
        <v>242366</v>
      </c>
      <c r="J414">
        <v>52598</v>
      </c>
      <c r="K414">
        <v>10031</v>
      </c>
      <c r="L414">
        <v>7412</v>
      </c>
      <c r="M414">
        <v>6304</v>
      </c>
      <c r="N414">
        <v>5115</v>
      </c>
      <c r="O414">
        <v>4708</v>
      </c>
      <c r="P414">
        <v>4280</v>
      </c>
      <c r="Q414">
        <v>4214</v>
      </c>
      <c r="R414">
        <v>2425</v>
      </c>
      <c r="S414">
        <v>2225</v>
      </c>
      <c r="T414">
        <v>1826</v>
      </c>
      <c r="U414">
        <v>1782</v>
      </c>
      <c r="V414">
        <v>1632</v>
      </c>
      <c r="W414">
        <v>1617</v>
      </c>
      <c r="X414">
        <v>1494</v>
      </c>
      <c r="Y414">
        <v>1427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1116588</v>
      </c>
    </row>
    <row r="415" spans="1:50" x14ac:dyDescent="0.2">
      <c r="A415" t="s">
        <v>25</v>
      </c>
      <c r="C415">
        <v>413</v>
      </c>
      <c r="D415">
        <v>30</v>
      </c>
      <c r="E415" t="s">
        <v>495</v>
      </c>
      <c r="F415">
        <v>2014</v>
      </c>
      <c r="G415">
        <v>561106</v>
      </c>
      <c r="H415">
        <v>288357</v>
      </c>
      <c r="I415">
        <v>64449</v>
      </c>
      <c r="J415">
        <v>56771</v>
      </c>
      <c r="K415">
        <v>41429</v>
      </c>
      <c r="L415">
        <v>4696</v>
      </c>
      <c r="M415">
        <v>1901</v>
      </c>
      <c r="N415">
        <v>1486</v>
      </c>
      <c r="O415">
        <v>1174</v>
      </c>
      <c r="P415">
        <v>1100</v>
      </c>
      <c r="Q415">
        <v>930</v>
      </c>
      <c r="R415">
        <v>851</v>
      </c>
      <c r="S415">
        <v>849</v>
      </c>
      <c r="T415">
        <v>743</v>
      </c>
      <c r="U415">
        <v>719</v>
      </c>
      <c r="V415">
        <v>694</v>
      </c>
      <c r="W415">
        <v>661</v>
      </c>
      <c r="X415">
        <v>608</v>
      </c>
      <c r="Y415">
        <v>575</v>
      </c>
      <c r="Z415">
        <v>572</v>
      </c>
      <c r="AA415">
        <v>542</v>
      </c>
      <c r="AB415">
        <v>523</v>
      </c>
      <c r="AC415">
        <v>502</v>
      </c>
      <c r="AD415">
        <v>445</v>
      </c>
      <c r="AE415">
        <v>441</v>
      </c>
      <c r="AF415">
        <v>390</v>
      </c>
      <c r="AG415">
        <v>389</v>
      </c>
      <c r="AH415">
        <v>361</v>
      </c>
      <c r="AI415">
        <v>337</v>
      </c>
      <c r="AJ415">
        <v>282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1033883</v>
      </c>
    </row>
    <row r="416" spans="1:50" x14ac:dyDescent="0.2">
      <c r="A416" t="s">
        <v>25</v>
      </c>
      <c r="C416">
        <v>414</v>
      </c>
      <c r="D416">
        <v>18</v>
      </c>
      <c r="E416" t="s">
        <v>496</v>
      </c>
      <c r="F416">
        <v>2014</v>
      </c>
      <c r="G416">
        <v>526434</v>
      </c>
      <c r="H416">
        <v>173721</v>
      </c>
      <c r="I416">
        <v>63633</v>
      </c>
      <c r="J416">
        <v>10383</v>
      </c>
      <c r="K416">
        <v>7914</v>
      </c>
      <c r="L416">
        <v>6688</v>
      </c>
      <c r="M416">
        <v>5409</v>
      </c>
      <c r="N416">
        <v>5205</v>
      </c>
      <c r="O416">
        <v>4418</v>
      </c>
      <c r="P416">
        <v>3538</v>
      </c>
      <c r="Q416">
        <v>3507</v>
      </c>
      <c r="R416">
        <v>3330</v>
      </c>
      <c r="S416">
        <v>2645</v>
      </c>
      <c r="T416">
        <v>2108</v>
      </c>
      <c r="U416">
        <v>1661</v>
      </c>
      <c r="V416">
        <v>1586</v>
      </c>
      <c r="W416">
        <v>1493</v>
      </c>
      <c r="X416">
        <v>1463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825136</v>
      </c>
    </row>
    <row r="417" spans="1:50" x14ac:dyDescent="0.2">
      <c r="A417" t="s">
        <v>25</v>
      </c>
      <c r="C417">
        <v>415</v>
      </c>
      <c r="D417">
        <v>35</v>
      </c>
      <c r="E417" t="s">
        <v>497</v>
      </c>
      <c r="F417">
        <v>2014</v>
      </c>
      <c r="G417">
        <v>408651</v>
      </c>
      <c r="H417">
        <v>300748</v>
      </c>
      <c r="I417">
        <v>57716</v>
      </c>
      <c r="J417">
        <v>25527</v>
      </c>
      <c r="K417">
        <v>6464</v>
      </c>
      <c r="L417">
        <v>6422</v>
      </c>
      <c r="M417">
        <v>5537</v>
      </c>
      <c r="N417">
        <v>5467</v>
      </c>
      <c r="O417">
        <v>4884</v>
      </c>
      <c r="P417">
        <v>4457</v>
      </c>
      <c r="Q417">
        <v>4109</v>
      </c>
      <c r="R417">
        <v>3305</v>
      </c>
      <c r="S417">
        <v>2845</v>
      </c>
      <c r="T417">
        <v>2726</v>
      </c>
      <c r="U417">
        <v>2546</v>
      </c>
      <c r="V417">
        <v>2454</v>
      </c>
      <c r="W417">
        <v>2384</v>
      </c>
      <c r="X417">
        <v>2345</v>
      </c>
      <c r="Y417">
        <v>2289</v>
      </c>
      <c r="Z417">
        <v>2201</v>
      </c>
      <c r="AA417">
        <v>2189</v>
      </c>
      <c r="AB417">
        <v>1871</v>
      </c>
      <c r="AC417">
        <v>1784</v>
      </c>
      <c r="AD417">
        <v>1753</v>
      </c>
      <c r="AE417">
        <v>1617</v>
      </c>
      <c r="AF417">
        <v>1572</v>
      </c>
      <c r="AG417">
        <v>1387</v>
      </c>
      <c r="AH417">
        <v>1307</v>
      </c>
      <c r="AI417">
        <v>1299</v>
      </c>
      <c r="AJ417">
        <v>1255</v>
      </c>
      <c r="AK417">
        <v>1252</v>
      </c>
      <c r="AL417">
        <v>1140</v>
      </c>
      <c r="AM417">
        <v>1064</v>
      </c>
      <c r="AN417">
        <v>1043</v>
      </c>
      <c r="AO417">
        <v>1015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874625</v>
      </c>
    </row>
    <row r="418" spans="1:50" x14ac:dyDescent="0.2">
      <c r="A418" t="s">
        <v>25</v>
      </c>
      <c r="C418">
        <v>416</v>
      </c>
      <c r="D418">
        <v>16</v>
      </c>
      <c r="E418" t="s">
        <v>498</v>
      </c>
      <c r="F418">
        <v>2014</v>
      </c>
      <c r="G418">
        <v>410348</v>
      </c>
      <c r="H418">
        <v>231446</v>
      </c>
      <c r="I418">
        <v>228144</v>
      </c>
      <c r="J418">
        <v>41983</v>
      </c>
      <c r="K418">
        <v>14021</v>
      </c>
      <c r="L418">
        <v>5835</v>
      </c>
      <c r="M418">
        <v>5752</v>
      </c>
      <c r="N418">
        <v>5412</v>
      </c>
      <c r="O418">
        <v>4630</v>
      </c>
      <c r="P418">
        <v>3804</v>
      </c>
      <c r="Q418">
        <v>3381</v>
      </c>
      <c r="R418">
        <v>2737</v>
      </c>
      <c r="S418">
        <v>2363</v>
      </c>
      <c r="T418">
        <v>1887</v>
      </c>
      <c r="U418">
        <v>1637</v>
      </c>
      <c r="V418">
        <v>1601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964981</v>
      </c>
    </row>
    <row r="419" spans="1:50" x14ac:dyDescent="0.2">
      <c r="A419" t="s">
        <v>25</v>
      </c>
      <c r="C419">
        <v>417</v>
      </c>
      <c r="D419">
        <v>16</v>
      </c>
      <c r="E419" t="s">
        <v>499</v>
      </c>
      <c r="F419">
        <v>2014</v>
      </c>
      <c r="G419">
        <v>375789</v>
      </c>
      <c r="H419">
        <v>207567</v>
      </c>
      <c r="I419">
        <v>138620</v>
      </c>
      <c r="J419">
        <v>120107</v>
      </c>
      <c r="K419">
        <v>9983</v>
      </c>
      <c r="L419">
        <v>9098</v>
      </c>
      <c r="M419">
        <v>6309</v>
      </c>
      <c r="N419">
        <v>5618</v>
      </c>
      <c r="O419">
        <v>4207</v>
      </c>
      <c r="P419">
        <v>3342</v>
      </c>
      <c r="Q419">
        <v>3002</v>
      </c>
      <c r="R419">
        <v>2766</v>
      </c>
      <c r="S419">
        <v>2458</v>
      </c>
      <c r="T419">
        <v>2160</v>
      </c>
      <c r="U419">
        <v>1859</v>
      </c>
      <c r="V419">
        <v>1571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894456</v>
      </c>
    </row>
    <row r="420" spans="1:50" x14ac:dyDescent="0.2">
      <c r="A420" t="s">
        <v>25</v>
      </c>
      <c r="C420">
        <v>418</v>
      </c>
      <c r="D420">
        <v>23</v>
      </c>
      <c r="E420" t="s">
        <v>500</v>
      </c>
      <c r="F420">
        <v>2014</v>
      </c>
      <c r="G420">
        <v>406195</v>
      </c>
      <c r="H420">
        <v>255693</v>
      </c>
      <c r="I420">
        <v>114521</v>
      </c>
      <c r="J420">
        <v>95543</v>
      </c>
      <c r="K420">
        <v>58703</v>
      </c>
      <c r="L420">
        <v>4974</v>
      </c>
      <c r="M420">
        <v>4659</v>
      </c>
      <c r="N420">
        <v>2933</v>
      </c>
      <c r="O420">
        <v>2655</v>
      </c>
      <c r="P420">
        <v>2420</v>
      </c>
      <c r="Q420">
        <v>2254</v>
      </c>
      <c r="R420">
        <v>2140</v>
      </c>
      <c r="S420">
        <v>2107</v>
      </c>
      <c r="T420">
        <v>2066</v>
      </c>
      <c r="U420">
        <v>1986</v>
      </c>
      <c r="V420">
        <v>1864</v>
      </c>
      <c r="W420">
        <v>1857</v>
      </c>
      <c r="X420">
        <v>1809</v>
      </c>
      <c r="Y420">
        <v>1605</v>
      </c>
      <c r="Z420">
        <v>1537</v>
      </c>
      <c r="AA420">
        <v>1202</v>
      </c>
      <c r="AB420">
        <v>1013</v>
      </c>
      <c r="AC420">
        <v>941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970677</v>
      </c>
    </row>
    <row r="421" spans="1:50" x14ac:dyDescent="0.2">
      <c r="A421" t="s">
        <v>25</v>
      </c>
      <c r="C421">
        <v>419</v>
      </c>
      <c r="D421">
        <v>11</v>
      </c>
      <c r="E421" t="s">
        <v>501</v>
      </c>
      <c r="F421">
        <v>2014</v>
      </c>
      <c r="G421">
        <v>439646</v>
      </c>
      <c r="H421">
        <v>266700</v>
      </c>
      <c r="I421">
        <v>192804</v>
      </c>
      <c r="J421">
        <v>13397</v>
      </c>
      <c r="K421">
        <v>6165</v>
      </c>
      <c r="L421">
        <v>5923</v>
      </c>
      <c r="M421">
        <v>4954</v>
      </c>
      <c r="N421">
        <v>3178</v>
      </c>
      <c r="O421">
        <v>2677</v>
      </c>
      <c r="P421">
        <v>2372</v>
      </c>
      <c r="Q421">
        <v>1788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939604</v>
      </c>
    </row>
    <row r="422" spans="1:50" x14ac:dyDescent="0.2">
      <c r="A422" t="s">
        <v>25</v>
      </c>
      <c r="C422">
        <v>420</v>
      </c>
      <c r="D422">
        <v>13</v>
      </c>
      <c r="E422" t="s">
        <v>502</v>
      </c>
      <c r="F422">
        <v>2014</v>
      </c>
      <c r="G422">
        <v>489164</v>
      </c>
      <c r="H422">
        <v>469257</v>
      </c>
      <c r="I422">
        <v>127785</v>
      </c>
      <c r="J422">
        <v>7380</v>
      </c>
      <c r="K422">
        <v>5723</v>
      </c>
      <c r="L422">
        <v>4826</v>
      </c>
      <c r="M422">
        <v>2891</v>
      </c>
      <c r="N422">
        <v>2567</v>
      </c>
      <c r="O422">
        <v>1282</v>
      </c>
      <c r="P422">
        <v>964</v>
      </c>
      <c r="Q422">
        <v>927</v>
      </c>
      <c r="R422">
        <v>888</v>
      </c>
      <c r="S422">
        <v>806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1114460</v>
      </c>
    </row>
    <row r="423" spans="1:50" x14ac:dyDescent="0.2">
      <c r="A423" t="s">
        <v>25</v>
      </c>
      <c r="C423">
        <v>421</v>
      </c>
      <c r="D423">
        <v>22</v>
      </c>
      <c r="E423" t="s">
        <v>503</v>
      </c>
      <c r="F423">
        <v>2014</v>
      </c>
      <c r="G423">
        <v>474712</v>
      </c>
      <c r="H423">
        <v>251766</v>
      </c>
      <c r="I423">
        <v>53218</v>
      </c>
      <c r="J423">
        <v>25723</v>
      </c>
      <c r="K423">
        <v>11925</v>
      </c>
      <c r="L423">
        <v>3005</v>
      </c>
      <c r="M423">
        <v>2350</v>
      </c>
      <c r="N423">
        <v>2278</v>
      </c>
      <c r="O423">
        <v>1701</v>
      </c>
      <c r="P423">
        <v>1398</v>
      </c>
      <c r="Q423">
        <v>1069</v>
      </c>
      <c r="R423">
        <v>929</v>
      </c>
      <c r="S423">
        <v>723</v>
      </c>
      <c r="T423">
        <v>683</v>
      </c>
      <c r="U423">
        <v>665</v>
      </c>
      <c r="V423">
        <v>580</v>
      </c>
      <c r="W423">
        <v>475</v>
      </c>
      <c r="X423">
        <v>433</v>
      </c>
      <c r="Y423">
        <v>425</v>
      </c>
      <c r="Z423">
        <v>364</v>
      </c>
      <c r="AA423">
        <v>361</v>
      </c>
      <c r="AB423">
        <v>296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835079</v>
      </c>
    </row>
    <row r="424" spans="1:50" x14ac:dyDescent="0.2">
      <c r="A424" t="s">
        <v>25</v>
      </c>
      <c r="C424">
        <v>422</v>
      </c>
      <c r="D424">
        <v>19</v>
      </c>
      <c r="E424" t="s">
        <v>504</v>
      </c>
      <c r="F424">
        <v>2014</v>
      </c>
      <c r="G424">
        <v>481584</v>
      </c>
      <c r="H424">
        <v>202587</v>
      </c>
      <c r="I424">
        <v>147002</v>
      </c>
      <c r="J424">
        <v>96827</v>
      </c>
      <c r="K424">
        <v>7914</v>
      </c>
      <c r="L424">
        <v>5432</v>
      </c>
      <c r="M424">
        <v>5331</v>
      </c>
      <c r="N424">
        <v>4285</v>
      </c>
      <c r="O424">
        <v>3948</v>
      </c>
      <c r="P424">
        <v>3403</v>
      </c>
      <c r="Q424">
        <v>2754</v>
      </c>
      <c r="R424">
        <v>2259</v>
      </c>
      <c r="S424">
        <v>1890</v>
      </c>
      <c r="T424">
        <v>1853</v>
      </c>
      <c r="U424">
        <v>1350</v>
      </c>
      <c r="V424">
        <v>1037</v>
      </c>
      <c r="W424">
        <v>799</v>
      </c>
      <c r="X424">
        <v>597</v>
      </c>
      <c r="Y424">
        <v>523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971375</v>
      </c>
    </row>
    <row r="425" spans="1:50" x14ac:dyDescent="0.2">
      <c r="A425" t="s">
        <v>25</v>
      </c>
      <c r="C425">
        <v>423</v>
      </c>
      <c r="D425">
        <v>12</v>
      </c>
      <c r="E425" t="s">
        <v>505</v>
      </c>
      <c r="F425">
        <v>2014</v>
      </c>
      <c r="G425">
        <v>548631</v>
      </c>
      <c r="H425">
        <v>261429</v>
      </c>
      <c r="I425">
        <v>180921</v>
      </c>
      <c r="J425">
        <v>82903</v>
      </c>
      <c r="K425">
        <v>10291</v>
      </c>
      <c r="L425">
        <v>4944</v>
      </c>
      <c r="M425">
        <v>4761</v>
      </c>
      <c r="N425">
        <v>4561</v>
      </c>
      <c r="O425">
        <v>3337</v>
      </c>
      <c r="P425">
        <v>2816</v>
      </c>
      <c r="Q425">
        <v>2525</v>
      </c>
      <c r="R425">
        <v>2047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1109166</v>
      </c>
    </row>
    <row r="426" spans="1:50" x14ac:dyDescent="0.2">
      <c r="A426" t="s">
        <v>25</v>
      </c>
      <c r="C426">
        <v>424</v>
      </c>
      <c r="D426">
        <v>16</v>
      </c>
      <c r="E426" t="s">
        <v>506</v>
      </c>
      <c r="F426">
        <v>2014</v>
      </c>
      <c r="G426">
        <v>575889</v>
      </c>
      <c r="H426">
        <v>385422</v>
      </c>
      <c r="I426">
        <v>213792</v>
      </c>
      <c r="J426">
        <v>84089</v>
      </c>
      <c r="K426">
        <v>13959</v>
      </c>
      <c r="L426">
        <v>11443</v>
      </c>
      <c r="M426">
        <v>8600</v>
      </c>
      <c r="N426">
        <v>5536</v>
      </c>
      <c r="O426">
        <v>4522</v>
      </c>
      <c r="P426">
        <v>4215</v>
      </c>
      <c r="Q426">
        <v>2727</v>
      </c>
      <c r="R426">
        <v>2605</v>
      </c>
      <c r="S426">
        <v>2121</v>
      </c>
      <c r="T426">
        <v>2036</v>
      </c>
      <c r="U426">
        <v>2029</v>
      </c>
      <c r="V426">
        <v>1819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1320804</v>
      </c>
    </row>
    <row r="427" spans="1:50" x14ac:dyDescent="0.2">
      <c r="A427" t="s">
        <v>25</v>
      </c>
      <c r="C427">
        <v>425</v>
      </c>
      <c r="D427">
        <v>16</v>
      </c>
      <c r="E427" t="s">
        <v>225</v>
      </c>
      <c r="F427">
        <v>2014</v>
      </c>
      <c r="G427">
        <v>453884</v>
      </c>
      <c r="H427">
        <v>187096</v>
      </c>
      <c r="I427">
        <v>176356</v>
      </c>
      <c r="J427">
        <v>78229</v>
      </c>
      <c r="K427">
        <v>23137</v>
      </c>
      <c r="L427">
        <v>10449</v>
      </c>
      <c r="M427">
        <v>9663</v>
      </c>
      <c r="N427">
        <v>6297</v>
      </c>
      <c r="O427">
        <v>5749</v>
      </c>
      <c r="P427">
        <v>4860</v>
      </c>
      <c r="Q427">
        <v>4314</v>
      </c>
      <c r="R427">
        <v>4079</v>
      </c>
      <c r="S427">
        <v>3435</v>
      </c>
      <c r="T427">
        <v>2981</v>
      </c>
      <c r="U427">
        <v>2955</v>
      </c>
      <c r="V427">
        <v>1756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975240</v>
      </c>
    </row>
    <row r="428" spans="1:50" x14ac:dyDescent="0.2">
      <c r="A428" t="s">
        <v>25</v>
      </c>
      <c r="C428">
        <v>426</v>
      </c>
      <c r="D428">
        <v>14</v>
      </c>
      <c r="E428" t="s">
        <v>507</v>
      </c>
      <c r="F428">
        <v>2014</v>
      </c>
      <c r="G428">
        <v>342066</v>
      </c>
      <c r="H428">
        <v>226278</v>
      </c>
      <c r="I428">
        <v>189730</v>
      </c>
      <c r="J428">
        <v>36650</v>
      </c>
      <c r="K428">
        <v>15156</v>
      </c>
      <c r="L428">
        <v>13824</v>
      </c>
      <c r="M428">
        <v>7140</v>
      </c>
      <c r="N428">
        <v>6439</v>
      </c>
      <c r="O428">
        <v>5115</v>
      </c>
      <c r="P428">
        <v>4755</v>
      </c>
      <c r="Q428">
        <v>3201</v>
      </c>
      <c r="R428">
        <v>2931</v>
      </c>
      <c r="S428">
        <v>2605</v>
      </c>
      <c r="T428">
        <v>2436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858326</v>
      </c>
    </row>
    <row r="429" spans="1:50" x14ac:dyDescent="0.2">
      <c r="A429" t="s">
        <v>25</v>
      </c>
      <c r="C429">
        <v>427</v>
      </c>
      <c r="D429">
        <v>15</v>
      </c>
      <c r="E429" t="s">
        <v>508</v>
      </c>
      <c r="F429">
        <v>2014</v>
      </c>
      <c r="G429">
        <v>485994</v>
      </c>
      <c r="H429">
        <v>298788</v>
      </c>
      <c r="I429">
        <v>179724</v>
      </c>
      <c r="J429">
        <v>46588</v>
      </c>
      <c r="K429">
        <v>11607</v>
      </c>
      <c r="L429">
        <v>7578</v>
      </c>
      <c r="M429">
        <v>5838</v>
      </c>
      <c r="N429">
        <v>5448</v>
      </c>
      <c r="O429">
        <v>3029</v>
      </c>
      <c r="P429">
        <v>2498</v>
      </c>
      <c r="Q429">
        <v>2454</v>
      </c>
      <c r="R429">
        <v>2173</v>
      </c>
      <c r="S429">
        <v>1967</v>
      </c>
      <c r="T429">
        <v>1657</v>
      </c>
      <c r="U429">
        <v>1345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1056688</v>
      </c>
    </row>
    <row r="430" spans="1:50" x14ac:dyDescent="0.2">
      <c r="A430" t="s">
        <v>25</v>
      </c>
      <c r="C430">
        <v>428</v>
      </c>
      <c r="D430">
        <v>12</v>
      </c>
      <c r="E430" t="s">
        <v>509</v>
      </c>
      <c r="F430">
        <v>2014</v>
      </c>
      <c r="G430">
        <v>331724</v>
      </c>
      <c r="H430">
        <v>288824</v>
      </c>
      <c r="I430">
        <v>201322</v>
      </c>
      <c r="J430">
        <v>31905</v>
      </c>
      <c r="K430">
        <v>15169</v>
      </c>
      <c r="L430">
        <v>9182</v>
      </c>
      <c r="M430">
        <v>7350</v>
      </c>
      <c r="N430">
        <v>6556</v>
      </c>
      <c r="O430">
        <v>6389</v>
      </c>
      <c r="P430">
        <v>4958</v>
      </c>
      <c r="Q430">
        <v>3693</v>
      </c>
      <c r="R430">
        <v>3342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910414</v>
      </c>
    </row>
    <row r="431" spans="1:50" x14ac:dyDescent="0.2">
      <c r="A431" t="s">
        <v>25</v>
      </c>
      <c r="C431">
        <v>429</v>
      </c>
      <c r="D431">
        <v>16</v>
      </c>
      <c r="E431" t="s">
        <v>510</v>
      </c>
      <c r="F431">
        <v>2014</v>
      </c>
      <c r="G431">
        <v>503564</v>
      </c>
      <c r="H431">
        <v>195256</v>
      </c>
      <c r="I431">
        <v>163710</v>
      </c>
      <c r="J431">
        <v>58127</v>
      </c>
      <c r="K431">
        <v>8424</v>
      </c>
      <c r="L431">
        <v>7384</v>
      </c>
      <c r="M431">
        <v>5652</v>
      </c>
      <c r="N431">
        <v>3392</v>
      </c>
      <c r="O431">
        <v>3114</v>
      </c>
      <c r="P431">
        <v>2706</v>
      </c>
      <c r="Q431">
        <v>2187</v>
      </c>
      <c r="R431">
        <v>1585</v>
      </c>
      <c r="S431">
        <v>1521</v>
      </c>
      <c r="T431">
        <v>1306</v>
      </c>
      <c r="U431">
        <v>1302</v>
      </c>
      <c r="V431">
        <v>1111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960341</v>
      </c>
    </row>
    <row r="432" spans="1:50" x14ac:dyDescent="0.2">
      <c r="A432" t="s">
        <v>25</v>
      </c>
      <c r="C432">
        <v>430</v>
      </c>
      <c r="D432">
        <v>24</v>
      </c>
      <c r="E432" t="s">
        <v>511</v>
      </c>
      <c r="F432">
        <v>2014</v>
      </c>
      <c r="G432">
        <v>313772</v>
      </c>
      <c r="H432">
        <v>251763</v>
      </c>
      <c r="I432">
        <v>162073</v>
      </c>
      <c r="J432">
        <v>102453</v>
      </c>
      <c r="K432">
        <v>8321</v>
      </c>
      <c r="L432">
        <v>6439</v>
      </c>
      <c r="M432">
        <v>4426</v>
      </c>
      <c r="N432">
        <v>4324</v>
      </c>
      <c r="O432">
        <v>4190</v>
      </c>
      <c r="P432">
        <v>3744</v>
      </c>
      <c r="Q432">
        <v>3624</v>
      </c>
      <c r="R432">
        <v>3388</v>
      </c>
      <c r="S432">
        <v>3315</v>
      </c>
      <c r="T432">
        <v>2593</v>
      </c>
      <c r="U432">
        <v>2332</v>
      </c>
      <c r="V432">
        <v>2181</v>
      </c>
      <c r="W432">
        <v>2115</v>
      </c>
      <c r="X432">
        <v>1928</v>
      </c>
      <c r="Y432">
        <v>1730</v>
      </c>
      <c r="Z432">
        <v>1711</v>
      </c>
      <c r="AA432">
        <v>1438</v>
      </c>
      <c r="AB432">
        <v>1293</v>
      </c>
      <c r="AC432">
        <v>1221</v>
      </c>
      <c r="AD432">
        <v>1212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891586</v>
      </c>
    </row>
    <row r="433" spans="1:50" x14ac:dyDescent="0.2">
      <c r="A433" t="s">
        <v>25</v>
      </c>
      <c r="C433">
        <v>431</v>
      </c>
      <c r="D433">
        <v>15</v>
      </c>
      <c r="E433" t="s">
        <v>26</v>
      </c>
      <c r="F433">
        <v>2014</v>
      </c>
      <c r="G433">
        <v>454214</v>
      </c>
      <c r="H433">
        <v>242336</v>
      </c>
      <c r="I433">
        <v>167150</v>
      </c>
      <c r="J433">
        <v>159284</v>
      </c>
      <c r="K433">
        <v>8726</v>
      </c>
      <c r="L433">
        <v>7980</v>
      </c>
      <c r="M433">
        <v>7136</v>
      </c>
      <c r="N433">
        <v>3836</v>
      </c>
      <c r="O433">
        <v>3261</v>
      </c>
      <c r="P433">
        <v>3126</v>
      </c>
      <c r="Q433">
        <v>3038</v>
      </c>
      <c r="R433">
        <v>2560</v>
      </c>
      <c r="S433">
        <v>2171</v>
      </c>
      <c r="T433">
        <v>2035</v>
      </c>
      <c r="U433">
        <v>1315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1068168</v>
      </c>
    </row>
    <row r="434" spans="1:50" x14ac:dyDescent="0.2">
      <c r="A434" t="s">
        <v>25</v>
      </c>
      <c r="C434">
        <v>432</v>
      </c>
      <c r="D434">
        <v>12</v>
      </c>
      <c r="E434" t="s">
        <v>512</v>
      </c>
      <c r="F434">
        <v>2014</v>
      </c>
      <c r="G434">
        <v>491761</v>
      </c>
      <c r="H434">
        <v>208986</v>
      </c>
      <c r="I434">
        <v>141827</v>
      </c>
      <c r="J434">
        <v>129917</v>
      </c>
      <c r="K434">
        <v>11537</v>
      </c>
      <c r="L434">
        <v>9055</v>
      </c>
      <c r="M434">
        <v>6308</v>
      </c>
      <c r="N434">
        <v>5963</v>
      </c>
      <c r="O434">
        <v>5702</v>
      </c>
      <c r="P434">
        <v>4795</v>
      </c>
      <c r="Q434">
        <v>4187</v>
      </c>
      <c r="R434">
        <v>2678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1022716</v>
      </c>
    </row>
    <row r="435" spans="1:50" x14ac:dyDescent="0.2">
      <c r="A435" t="s">
        <v>25</v>
      </c>
      <c r="C435">
        <v>433</v>
      </c>
      <c r="D435">
        <v>15</v>
      </c>
      <c r="E435" t="s">
        <v>513</v>
      </c>
      <c r="F435">
        <v>2014</v>
      </c>
      <c r="G435">
        <v>432104</v>
      </c>
      <c r="H435">
        <v>292675</v>
      </c>
      <c r="I435">
        <v>234467</v>
      </c>
      <c r="J435">
        <v>22775</v>
      </c>
      <c r="K435">
        <v>7694</v>
      </c>
      <c r="L435">
        <v>7422</v>
      </c>
      <c r="M435">
        <v>7040</v>
      </c>
      <c r="N435">
        <v>6896</v>
      </c>
      <c r="O435">
        <v>5792</v>
      </c>
      <c r="P435">
        <v>4707</v>
      </c>
      <c r="Q435">
        <v>4138</v>
      </c>
      <c r="R435">
        <v>3025</v>
      </c>
      <c r="S435">
        <v>2590</v>
      </c>
      <c r="T435">
        <v>1942</v>
      </c>
      <c r="U435">
        <v>1137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1034404</v>
      </c>
    </row>
    <row r="436" spans="1:50" x14ac:dyDescent="0.2">
      <c r="A436" t="s">
        <v>25</v>
      </c>
      <c r="C436">
        <v>434</v>
      </c>
      <c r="D436">
        <v>11</v>
      </c>
      <c r="E436" t="s">
        <v>514</v>
      </c>
      <c r="F436">
        <v>2014</v>
      </c>
      <c r="G436">
        <v>432392</v>
      </c>
      <c r="H436">
        <v>336747</v>
      </c>
      <c r="I436">
        <v>96904</v>
      </c>
      <c r="J436">
        <v>24421</v>
      </c>
      <c r="K436">
        <v>13498</v>
      </c>
      <c r="L436">
        <v>8319</v>
      </c>
      <c r="M436">
        <v>5826</v>
      </c>
      <c r="N436">
        <v>5735</v>
      </c>
      <c r="O436">
        <v>4026</v>
      </c>
      <c r="P436">
        <v>3719</v>
      </c>
      <c r="Q436">
        <v>2676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934263</v>
      </c>
    </row>
    <row r="437" spans="1:50" x14ac:dyDescent="0.2">
      <c r="A437" t="s">
        <v>25</v>
      </c>
      <c r="C437">
        <v>435</v>
      </c>
      <c r="D437">
        <v>15</v>
      </c>
      <c r="E437" t="s">
        <v>515</v>
      </c>
      <c r="F437">
        <v>2014</v>
      </c>
      <c r="G437">
        <v>381500</v>
      </c>
      <c r="H437">
        <v>303282</v>
      </c>
      <c r="I437">
        <v>146726</v>
      </c>
      <c r="J437">
        <v>57401</v>
      </c>
      <c r="K437">
        <v>11853</v>
      </c>
      <c r="L437">
        <v>11366</v>
      </c>
      <c r="M437">
        <v>5849</v>
      </c>
      <c r="N437">
        <v>5245</v>
      </c>
      <c r="O437">
        <v>3905</v>
      </c>
      <c r="P437">
        <v>3867</v>
      </c>
      <c r="Q437">
        <v>3710</v>
      </c>
      <c r="R437">
        <v>3246</v>
      </c>
      <c r="S437">
        <v>2119</v>
      </c>
      <c r="T437">
        <v>1822</v>
      </c>
      <c r="U437">
        <v>1466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943357</v>
      </c>
    </row>
    <row r="438" spans="1:50" x14ac:dyDescent="0.2">
      <c r="A438" t="s">
        <v>25</v>
      </c>
      <c r="C438">
        <v>436</v>
      </c>
      <c r="D438">
        <v>15</v>
      </c>
      <c r="E438" t="s">
        <v>516</v>
      </c>
      <c r="F438">
        <v>2014</v>
      </c>
      <c r="G438">
        <v>345964</v>
      </c>
      <c r="H438">
        <v>260051</v>
      </c>
      <c r="I438">
        <v>194890</v>
      </c>
      <c r="J438">
        <v>101817</v>
      </c>
      <c r="K438">
        <v>20006</v>
      </c>
      <c r="L438">
        <v>14587</v>
      </c>
      <c r="M438">
        <v>10083</v>
      </c>
      <c r="N438">
        <v>6278</v>
      </c>
      <c r="O438">
        <v>5542</v>
      </c>
      <c r="P438">
        <v>4489</v>
      </c>
      <c r="Q438">
        <v>3730</v>
      </c>
      <c r="R438">
        <v>3474</v>
      </c>
      <c r="S438">
        <v>3188</v>
      </c>
      <c r="T438">
        <v>2961</v>
      </c>
      <c r="U438">
        <v>2578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979638</v>
      </c>
    </row>
    <row r="439" spans="1:50" x14ac:dyDescent="0.2">
      <c r="A439" t="s">
        <v>25</v>
      </c>
      <c r="C439">
        <v>437</v>
      </c>
      <c r="D439">
        <v>16</v>
      </c>
      <c r="E439" t="s">
        <v>517</v>
      </c>
      <c r="F439">
        <v>2014</v>
      </c>
      <c r="G439">
        <v>359639</v>
      </c>
      <c r="H439">
        <v>199227</v>
      </c>
      <c r="I439">
        <v>116178</v>
      </c>
      <c r="J439">
        <v>102254</v>
      </c>
      <c r="K439">
        <v>42744</v>
      </c>
      <c r="L439">
        <v>18450</v>
      </c>
      <c r="M439">
        <v>7988</v>
      </c>
      <c r="N439">
        <v>5374</v>
      </c>
      <c r="O439">
        <v>4748</v>
      </c>
      <c r="P439">
        <v>3358</v>
      </c>
      <c r="Q439">
        <v>3200</v>
      </c>
      <c r="R439">
        <v>2555</v>
      </c>
      <c r="S439">
        <v>2395</v>
      </c>
      <c r="T439">
        <v>2199</v>
      </c>
      <c r="U439">
        <v>1900</v>
      </c>
      <c r="V439">
        <v>1519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873728</v>
      </c>
    </row>
    <row r="440" spans="1:50" x14ac:dyDescent="0.2">
      <c r="A440" t="s">
        <v>25</v>
      </c>
      <c r="C440">
        <v>438</v>
      </c>
      <c r="D440">
        <v>18</v>
      </c>
      <c r="E440" t="s">
        <v>518</v>
      </c>
      <c r="F440">
        <v>2014</v>
      </c>
      <c r="G440">
        <v>298845</v>
      </c>
      <c r="H440">
        <v>195257</v>
      </c>
      <c r="I440">
        <v>174778</v>
      </c>
      <c r="J440">
        <v>99242</v>
      </c>
      <c r="K440">
        <v>88117</v>
      </c>
      <c r="L440">
        <v>10952</v>
      </c>
      <c r="M440">
        <v>9529</v>
      </c>
      <c r="N440">
        <v>9371</v>
      </c>
      <c r="O440">
        <v>7762</v>
      </c>
      <c r="P440">
        <v>7159</v>
      </c>
      <c r="Q440">
        <v>6776</v>
      </c>
      <c r="R440">
        <v>5521</v>
      </c>
      <c r="S440">
        <v>5123</v>
      </c>
      <c r="T440">
        <v>4939</v>
      </c>
      <c r="U440">
        <v>3238</v>
      </c>
      <c r="V440">
        <v>3174</v>
      </c>
      <c r="W440">
        <v>2709</v>
      </c>
      <c r="X440">
        <v>2535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935027</v>
      </c>
    </row>
    <row r="441" spans="1:50" x14ac:dyDescent="0.2">
      <c r="A441" t="s">
        <v>25</v>
      </c>
      <c r="C441">
        <v>439</v>
      </c>
      <c r="D441">
        <v>14</v>
      </c>
      <c r="E441" t="s">
        <v>519</v>
      </c>
      <c r="F441">
        <v>2014</v>
      </c>
      <c r="G441">
        <v>357680</v>
      </c>
      <c r="H441">
        <v>324118</v>
      </c>
      <c r="I441">
        <v>283747</v>
      </c>
      <c r="J441">
        <v>27673</v>
      </c>
      <c r="K441">
        <v>10168</v>
      </c>
      <c r="L441">
        <v>8407</v>
      </c>
      <c r="M441">
        <v>8172</v>
      </c>
      <c r="N441">
        <v>7063</v>
      </c>
      <c r="O441">
        <v>4823</v>
      </c>
      <c r="P441">
        <v>4521</v>
      </c>
      <c r="Q441">
        <v>3587</v>
      </c>
      <c r="R441">
        <v>3532</v>
      </c>
      <c r="S441">
        <v>2803</v>
      </c>
      <c r="T441">
        <v>2240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1048534</v>
      </c>
    </row>
    <row r="442" spans="1:50" x14ac:dyDescent="0.2">
      <c r="A442" t="s">
        <v>25</v>
      </c>
      <c r="C442">
        <v>440</v>
      </c>
      <c r="D442">
        <v>26</v>
      </c>
      <c r="E442" t="s">
        <v>520</v>
      </c>
      <c r="F442">
        <v>2014</v>
      </c>
      <c r="G442">
        <v>348892</v>
      </c>
      <c r="H442">
        <v>250914</v>
      </c>
      <c r="I442">
        <v>240169</v>
      </c>
      <c r="J442">
        <v>69193</v>
      </c>
      <c r="K442">
        <v>22029</v>
      </c>
      <c r="L442">
        <v>11046</v>
      </c>
      <c r="M442">
        <v>8993</v>
      </c>
      <c r="N442">
        <v>7458</v>
      </c>
      <c r="O442">
        <v>5866</v>
      </c>
      <c r="P442">
        <v>5036</v>
      </c>
      <c r="Q442">
        <v>4747</v>
      </c>
      <c r="R442">
        <v>4082</v>
      </c>
      <c r="S442">
        <v>3900</v>
      </c>
      <c r="T442">
        <v>3618</v>
      </c>
      <c r="U442">
        <v>3181</v>
      </c>
      <c r="V442">
        <v>3061</v>
      </c>
      <c r="W442">
        <v>2796</v>
      </c>
      <c r="X442">
        <v>2439</v>
      </c>
      <c r="Y442">
        <v>2278</v>
      </c>
      <c r="Z442">
        <v>2164</v>
      </c>
      <c r="AA442">
        <v>2155</v>
      </c>
      <c r="AB442">
        <v>1884</v>
      </c>
      <c r="AC442">
        <v>1721</v>
      </c>
      <c r="AD442">
        <v>1477</v>
      </c>
      <c r="AE442">
        <v>1335</v>
      </c>
      <c r="AF442">
        <v>1215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1011649</v>
      </c>
    </row>
    <row r="443" spans="1:50" x14ac:dyDescent="0.2">
      <c r="A443" t="s">
        <v>25</v>
      </c>
      <c r="C443">
        <v>441</v>
      </c>
      <c r="D443">
        <v>24</v>
      </c>
      <c r="E443" t="s">
        <v>164</v>
      </c>
      <c r="F443">
        <v>2014</v>
      </c>
      <c r="G443">
        <v>471542</v>
      </c>
      <c r="H443">
        <v>231084</v>
      </c>
      <c r="I443">
        <v>213974</v>
      </c>
      <c r="J443">
        <v>57193</v>
      </c>
      <c r="K443">
        <v>15517</v>
      </c>
      <c r="L443">
        <v>6131</v>
      </c>
      <c r="M443">
        <v>5422</v>
      </c>
      <c r="N443">
        <v>5195</v>
      </c>
      <c r="O443">
        <v>5001</v>
      </c>
      <c r="P443">
        <v>4545</v>
      </c>
      <c r="Q443">
        <v>4216</v>
      </c>
      <c r="R443">
        <v>4210</v>
      </c>
      <c r="S443">
        <v>4079</v>
      </c>
      <c r="T443">
        <v>3752</v>
      </c>
      <c r="U443">
        <v>3582</v>
      </c>
      <c r="V443">
        <v>3455</v>
      </c>
      <c r="W443">
        <v>3196</v>
      </c>
      <c r="X443">
        <v>2545</v>
      </c>
      <c r="Y443">
        <v>2339</v>
      </c>
      <c r="Z443">
        <v>2149</v>
      </c>
      <c r="AA443">
        <v>1961</v>
      </c>
      <c r="AB443">
        <v>1828</v>
      </c>
      <c r="AC443">
        <v>1671</v>
      </c>
      <c r="AD443">
        <v>1491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1056078</v>
      </c>
    </row>
    <row r="444" spans="1:50" x14ac:dyDescent="0.2">
      <c r="A444" t="s">
        <v>25</v>
      </c>
      <c r="C444">
        <v>442</v>
      </c>
      <c r="D444">
        <v>16</v>
      </c>
      <c r="E444" t="s">
        <v>521</v>
      </c>
      <c r="F444">
        <v>2014</v>
      </c>
      <c r="G444">
        <v>539127</v>
      </c>
      <c r="H444">
        <v>226344</v>
      </c>
      <c r="I444">
        <v>176412</v>
      </c>
      <c r="J444">
        <v>45719</v>
      </c>
      <c r="K444">
        <v>11873</v>
      </c>
      <c r="L444">
        <v>8153</v>
      </c>
      <c r="M444">
        <v>5339</v>
      </c>
      <c r="N444">
        <v>5046</v>
      </c>
      <c r="O444">
        <v>4387</v>
      </c>
      <c r="P444">
        <v>4194</v>
      </c>
      <c r="Q444">
        <v>4024</v>
      </c>
      <c r="R444">
        <v>2398</v>
      </c>
      <c r="S444">
        <v>2123</v>
      </c>
      <c r="T444">
        <v>2016</v>
      </c>
      <c r="U444">
        <v>1873</v>
      </c>
      <c r="V444">
        <v>1171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1040199</v>
      </c>
    </row>
    <row r="445" spans="1:50" x14ac:dyDescent="0.2">
      <c r="A445" t="s">
        <v>25</v>
      </c>
      <c r="C445">
        <v>443</v>
      </c>
      <c r="D445">
        <v>15</v>
      </c>
      <c r="E445" t="s">
        <v>522</v>
      </c>
      <c r="F445">
        <v>2014</v>
      </c>
      <c r="G445">
        <v>370051</v>
      </c>
      <c r="H445">
        <v>284511</v>
      </c>
      <c r="I445">
        <v>132881</v>
      </c>
      <c r="J445">
        <v>111256</v>
      </c>
      <c r="K445">
        <v>10102</v>
      </c>
      <c r="L445">
        <v>9024</v>
      </c>
      <c r="M445">
        <v>5485</v>
      </c>
      <c r="N445">
        <v>4806</v>
      </c>
      <c r="O445">
        <v>4270</v>
      </c>
      <c r="P445">
        <v>3843</v>
      </c>
      <c r="Q445">
        <v>3802</v>
      </c>
      <c r="R445">
        <v>3630</v>
      </c>
      <c r="S445">
        <v>2677</v>
      </c>
      <c r="T445">
        <v>2145</v>
      </c>
      <c r="U445">
        <v>1963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950446</v>
      </c>
    </row>
    <row r="446" spans="1:50" x14ac:dyDescent="0.2">
      <c r="A446" t="s">
        <v>25</v>
      </c>
      <c r="C446">
        <v>444</v>
      </c>
      <c r="D446">
        <v>16</v>
      </c>
      <c r="E446" t="s">
        <v>523</v>
      </c>
      <c r="F446">
        <v>2014</v>
      </c>
      <c r="G446">
        <v>496500</v>
      </c>
      <c r="H446">
        <v>231114</v>
      </c>
      <c r="I446">
        <v>150852</v>
      </c>
      <c r="J446">
        <v>37752</v>
      </c>
      <c r="K446">
        <v>12405</v>
      </c>
      <c r="L446">
        <v>6408</v>
      </c>
      <c r="M446">
        <v>5763</v>
      </c>
      <c r="N446">
        <v>5406</v>
      </c>
      <c r="O446">
        <v>5130</v>
      </c>
      <c r="P446">
        <v>4952</v>
      </c>
      <c r="Q446">
        <v>4343</v>
      </c>
      <c r="R446">
        <v>4124</v>
      </c>
      <c r="S446">
        <v>1916</v>
      </c>
      <c r="T446">
        <v>1906</v>
      </c>
      <c r="U446">
        <v>1833</v>
      </c>
      <c r="V446">
        <v>1153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971557</v>
      </c>
    </row>
    <row r="447" spans="1:50" x14ac:dyDescent="0.2">
      <c r="A447" t="s">
        <v>25</v>
      </c>
      <c r="C447">
        <v>445</v>
      </c>
      <c r="D447">
        <v>13</v>
      </c>
      <c r="E447" t="s">
        <v>524</v>
      </c>
      <c r="F447">
        <v>2014</v>
      </c>
      <c r="G447">
        <v>417959</v>
      </c>
      <c r="H447">
        <v>228443</v>
      </c>
      <c r="I447">
        <v>133675</v>
      </c>
      <c r="J447">
        <v>50675</v>
      </c>
      <c r="K447">
        <v>13495</v>
      </c>
      <c r="L447">
        <v>9769</v>
      </c>
      <c r="M447">
        <v>5236</v>
      </c>
      <c r="N447">
        <v>4346</v>
      </c>
      <c r="O447">
        <v>4013</v>
      </c>
      <c r="P447">
        <v>3080</v>
      </c>
      <c r="Q447">
        <v>2963</v>
      </c>
      <c r="R447">
        <v>2896</v>
      </c>
      <c r="S447">
        <v>1327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877877</v>
      </c>
    </row>
    <row r="448" spans="1:50" x14ac:dyDescent="0.2">
      <c r="A448" t="s">
        <v>25</v>
      </c>
      <c r="C448">
        <v>446</v>
      </c>
      <c r="D448">
        <v>15</v>
      </c>
      <c r="E448" t="s">
        <v>525</v>
      </c>
      <c r="F448">
        <v>2014</v>
      </c>
      <c r="G448">
        <v>324016</v>
      </c>
      <c r="H448">
        <v>260930</v>
      </c>
      <c r="I448">
        <v>233971</v>
      </c>
      <c r="J448">
        <v>21832</v>
      </c>
      <c r="K448">
        <v>14368</v>
      </c>
      <c r="L448">
        <v>10523</v>
      </c>
      <c r="M448">
        <v>7713</v>
      </c>
      <c r="N448">
        <v>5668</v>
      </c>
      <c r="O448">
        <v>4620</v>
      </c>
      <c r="P448">
        <v>4536</v>
      </c>
      <c r="Q448">
        <v>3307</v>
      </c>
      <c r="R448">
        <v>2129</v>
      </c>
      <c r="S448">
        <v>1911</v>
      </c>
      <c r="T448">
        <v>1733</v>
      </c>
      <c r="U448">
        <v>1398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898655</v>
      </c>
    </row>
    <row r="449" spans="1:50" x14ac:dyDescent="0.2">
      <c r="A449" t="s">
        <v>25</v>
      </c>
      <c r="C449">
        <v>447</v>
      </c>
      <c r="D449">
        <v>19</v>
      </c>
      <c r="E449" t="s">
        <v>526</v>
      </c>
      <c r="F449">
        <v>2014</v>
      </c>
      <c r="G449">
        <v>340306</v>
      </c>
      <c r="H449">
        <v>277102</v>
      </c>
      <c r="I449">
        <v>266528</v>
      </c>
      <c r="J449">
        <v>17950</v>
      </c>
      <c r="K449">
        <v>13271</v>
      </c>
      <c r="L449">
        <v>5660</v>
      </c>
      <c r="M449">
        <v>5207</v>
      </c>
      <c r="N449">
        <v>4875</v>
      </c>
      <c r="O449">
        <v>4051</v>
      </c>
      <c r="P449">
        <v>3866</v>
      </c>
      <c r="Q449">
        <v>3752</v>
      </c>
      <c r="R449">
        <v>3517</v>
      </c>
      <c r="S449">
        <v>3082</v>
      </c>
      <c r="T449">
        <v>2507</v>
      </c>
      <c r="U449">
        <v>2103</v>
      </c>
      <c r="V449">
        <v>1882</v>
      </c>
      <c r="W449">
        <v>1695</v>
      </c>
      <c r="X449">
        <v>1566</v>
      </c>
      <c r="Y449">
        <v>1298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960218</v>
      </c>
    </row>
    <row r="450" spans="1:50" x14ac:dyDescent="0.2">
      <c r="A450" t="s">
        <v>25</v>
      </c>
      <c r="C450">
        <v>448</v>
      </c>
      <c r="D450">
        <v>19</v>
      </c>
      <c r="E450" t="s">
        <v>527</v>
      </c>
      <c r="F450">
        <v>2014</v>
      </c>
      <c r="G450">
        <v>379797</v>
      </c>
      <c r="H450">
        <v>233782</v>
      </c>
      <c r="I450">
        <v>166443</v>
      </c>
      <c r="J450">
        <v>165887</v>
      </c>
      <c r="K450">
        <v>19315</v>
      </c>
      <c r="L450">
        <v>18162</v>
      </c>
      <c r="M450">
        <v>8163</v>
      </c>
      <c r="N450">
        <v>7650</v>
      </c>
      <c r="O450">
        <v>7581</v>
      </c>
      <c r="P450">
        <v>4457</v>
      </c>
      <c r="Q450">
        <v>4188</v>
      </c>
      <c r="R450">
        <v>4130</v>
      </c>
      <c r="S450">
        <v>4030</v>
      </c>
      <c r="T450">
        <v>3826</v>
      </c>
      <c r="U450">
        <v>2949</v>
      </c>
      <c r="V450">
        <v>2721</v>
      </c>
      <c r="W450">
        <v>2543</v>
      </c>
      <c r="X450">
        <v>2246</v>
      </c>
      <c r="Y450">
        <v>1786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1039656</v>
      </c>
    </row>
    <row r="451" spans="1:50" x14ac:dyDescent="0.2">
      <c r="A451" t="s">
        <v>25</v>
      </c>
      <c r="C451">
        <v>449</v>
      </c>
      <c r="D451">
        <v>14</v>
      </c>
      <c r="E451" t="s">
        <v>528</v>
      </c>
      <c r="F451">
        <v>2014</v>
      </c>
      <c r="G451">
        <v>392213</v>
      </c>
      <c r="H451">
        <v>159871</v>
      </c>
      <c r="I451">
        <v>159688</v>
      </c>
      <c r="J451">
        <v>66084</v>
      </c>
      <c r="K451">
        <v>41890</v>
      </c>
      <c r="L451">
        <v>8322</v>
      </c>
      <c r="M451">
        <v>4947</v>
      </c>
      <c r="N451">
        <v>4377</v>
      </c>
      <c r="O451">
        <v>4263</v>
      </c>
      <c r="P451">
        <v>3631</v>
      </c>
      <c r="Q451">
        <v>3572</v>
      </c>
      <c r="R451">
        <v>2709</v>
      </c>
      <c r="S451">
        <v>1675</v>
      </c>
      <c r="T451">
        <v>1507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854749</v>
      </c>
    </row>
    <row r="452" spans="1:50" x14ac:dyDescent="0.2">
      <c r="A452" t="s">
        <v>25</v>
      </c>
      <c r="C452">
        <v>450</v>
      </c>
      <c r="D452">
        <v>16</v>
      </c>
      <c r="E452" t="s">
        <v>529</v>
      </c>
      <c r="F452">
        <v>2014</v>
      </c>
      <c r="G452">
        <v>359758</v>
      </c>
      <c r="H452">
        <v>220324</v>
      </c>
      <c r="I452">
        <v>163943</v>
      </c>
      <c r="J452">
        <v>141684</v>
      </c>
      <c r="K452">
        <v>13501</v>
      </c>
      <c r="L452">
        <v>6833</v>
      </c>
      <c r="M452">
        <v>6670</v>
      </c>
      <c r="N452">
        <v>6435</v>
      </c>
      <c r="O452">
        <v>6166</v>
      </c>
      <c r="P452">
        <v>3674</v>
      </c>
      <c r="Q452">
        <v>3297</v>
      </c>
      <c r="R452">
        <v>2815</v>
      </c>
      <c r="S452">
        <v>2529</v>
      </c>
      <c r="T452">
        <v>2506</v>
      </c>
      <c r="U452">
        <v>1096</v>
      </c>
      <c r="V452">
        <v>980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942211</v>
      </c>
    </row>
    <row r="453" spans="1:50" x14ac:dyDescent="0.2">
      <c r="A453" t="s">
        <v>25</v>
      </c>
      <c r="C453">
        <v>451</v>
      </c>
      <c r="D453">
        <v>22</v>
      </c>
      <c r="E453" t="s">
        <v>530</v>
      </c>
      <c r="F453">
        <v>2014</v>
      </c>
      <c r="G453">
        <v>367149</v>
      </c>
      <c r="H453">
        <v>220839</v>
      </c>
      <c r="I453">
        <v>180003</v>
      </c>
      <c r="J453">
        <v>64137</v>
      </c>
      <c r="K453">
        <v>43471</v>
      </c>
      <c r="L453">
        <v>42759</v>
      </c>
      <c r="M453">
        <v>20832</v>
      </c>
      <c r="N453">
        <v>19636</v>
      </c>
      <c r="O453">
        <v>7281</v>
      </c>
      <c r="P453">
        <v>7206</v>
      </c>
      <c r="Q453">
        <v>6814</v>
      </c>
      <c r="R453">
        <v>4026</v>
      </c>
      <c r="S453">
        <v>2773</v>
      </c>
      <c r="T453">
        <v>2694</v>
      </c>
      <c r="U453">
        <v>2608</v>
      </c>
      <c r="V453">
        <v>2595</v>
      </c>
      <c r="W453">
        <v>2329</v>
      </c>
      <c r="X453">
        <v>2204</v>
      </c>
      <c r="Y453">
        <v>2109</v>
      </c>
      <c r="Z453">
        <v>2064</v>
      </c>
      <c r="AA453">
        <v>1863</v>
      </c>
      <c r="AB453">
        <v>1751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1007143</v>
      </c>
    </row>
    <row r="454" spans="1:50" x14ac:dyDescent="0.2">
      <c r="A454" t="s">
        <v>25</v>
      </c>
      <c r="C454">
        <v>452</v>
      </c>
      <c r="D454">
        <v>16</v>
      </c>
      <c r="E454" t="s">
        <v>531</v>
      </c>
      <c r="F454">
        <v>2014</v>
      </c>
      <c r="G454">
        <v>438210</v>
      </c>
      <c r="H454">
        <v>266055</v>
      </c>
      <c r="I454">
        <v>191387</v>
      </c>
      <c r="J454">
        <v>36275</v>
      </c>
      <c r="K454">
        <v>18777</v>
      </c>
      <c r="L454">
        <v>9223</v>
      </c>
      <c r="M454">
        <v>8448</v>
      </c>
      <c r="N454">
        <v>7833</v>
      </c>
      <c r="O454">
        <v>5279</v>
      </c>
      <c r="P454">
        <v>4362</v>
      </c>
      <c r="Q454">
        <v>2708</v>
      </c>
      <c r="R454">
        <v>2669</v>
      </c>
      <c r="S454">
        <v>2114</v>
      </c>
      <c r="T454">
        <v>1552</v>
      </c>
      <c r="U454">
        <v>1543</v>
      </c>
      <c r="V454">
        <v>1467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997902</v>
      </c>
    </row>
    <row r="455" spans="1:50" x14ac:dyDescent="0.2">
      <c r="A455" t="s">
        <v>25</v>
      </c>
      <c r="C455">
        <v>453</v>
      </c>
      <c r="D455">
        <v>19</v>
      </c>
      <c r="E455" t="s">
        <v>532</v>
      </c>
      <c r="F455">
        <v>2014</v>
      </c>
      <c r="G455">
        <v>306929</v>
      </c>
      <c r="H455">
        <v>274477</v>
      </c>
      <c r="I455">
        <v>241645</v>
      </c>
      <c r="J455">
        <v>59510</v>
      </c>
      <c r="K455">
        <v>34093</v>
      </c>
      <c r="L455">
        <v>18908</v>
      </c>
      <c r="M455">
        <v>6925</v>
      </c>
      <c r="N455">
        <v>6512</v>
      </c>
      <c r="O455">
        <v>6381</v>
      </c>
      <c r="P455">
        <v>5611</v>
      </c>
      <c r="Q455">
        <v>4889</v>
      </c>
      <c r="R455">
        <v>4019</v>
      </c>
      <c r="S455">
        <v>3585</v>
      </c>
      <c r="T455">
        <v>3468</v>
      </c>
      <c r="U455">
        <v>2484</v>
      </c>
      <c r="V455">
        <v>2416</v>
      </c>
      <c r="W455">
        <v>2122</v>
      </c>
      <c r="X455">
        <v>1588</v>
      </c>
      <c r="Y455">
        <v>1111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986673</v>
      </c>
    </row>
    <row r="456" spans="1:50" x14ac:dyDescent="0.2">
      <c r="A456" t="s">
        <v>25</v>
      </c>
      <c r="C456">
        <v>454</v>
      </c>
      <c r="D456">
        <v>22</v>
      </c>
      <c r="E456" t="s">
        <v>533</v>
      </c>
      <c r="F456">
        <v>2014</v>
      </c>
      <c r="G456">
        <v>414135</v>
      </c>
      <c r="H456">
        <v>257379</v>
      </c>
      <c r="I456">
        <v>204145</v>
      </c>
      <c r="J456">
        <v>27194</v>
      </c>
      <c r="K456">
        <v>15598</v>
      </c>
      <c r="L456">
        <v>8756</v>
      </c>
      <c r="M456">
        <v>7767</v>
      </c>
      <c r="N456">
        <v>6170</v>
      </c>
      <c r="O456">
        <v>4993</v>
      </c>
      <c r="P456">
        <v>4768</v>
      </c>
      <c r="Q456">
        <v>4221</v>
      </c>
      <c r="R456">
        <v>3882</v>
      </c>
      <c r="S456">
        <v>3186</v>
      </c>
      <c r="T456">
        <v>2988</v>
      </c>
      <c r="U456">
        <v>2769</v>
      </c>
      <c r="V456">
        <v>2502</v>
      </c>
      <c r="W456">
        <v>2386</v>
      </c>
      <c r="X456">
        <v>2148</v>
      </c>
      <c r="Y456">
        <v>1482</v>
      </c>
      <c r="Z456">
        <v>1423</v>
      </c>
      <c r="AA456">
        <v>1362</v>
      </c>
      <c r="AB456">
        <v>1318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980572</v>
      </c>
    </row>
    <row r="457" spans="1:50" x14ac:dyDescent="0.2">
      <c r="A457" t="s">
        <v>25</v>
      </c>
      <c r="C457">
        <v>455</v>
      </c>
      <c r="D457">
        <v>35</v>
      </c>
      <c r="E457" t="s">
        <v>534</v>
      </c>
      <c r="F457">
        <v>2014</v>
      </c>
      <c r="G457">
        <v>581022</v>
      </c>
      <c r="H457">
        <v>209238</v>
      </c>
      <c r="I457">
        <v>75614</v>
      </c>
      <c r="J457">
        <v>60579</v>
      </c>
      <c r="K457">
        <v>45291</v>
      </c>
      <c r="L457">
        <v>4327</v>
      </c>
      <c r="M457">
        <v>3634</v>
      </c>
      <c r="N457">
        <v>3023</v>
      </c>
      <c r="O457">
        <v>2850</v>
      </c>
      <c r="P457">
        <v>2674</v>
      </c>
      <c r="Q457">
        <v>2457</v>
      </c>
      <c r="R457">
        <v>2323</v>
      </c>
      <c r="S457">
        <v>2277</v>
      </c>
      <c r="T457">
        <v>2051</v>
      </c>
      <c r="U457">
        <v>2037</v>
      </c>
      <c r="V457">
        <v>2000</v>
      </c>
      <c r="W457">
        <v>1807</v>
      </c>
      <c r="X457">
        <v>1740</v>
      </c>
      <c r="Y457">
        <v>1644</v>
      </c>
      <c r="Z457">
        <v>1524</v>
      </c>
      <c r="AA457">
        <v>1434</v>
      </c>
      <c r="AB457">
        <v>1376</v>
      </c>
      <c r="AC457">
        <v>1367</v>
      </c>
      <c r="AD457">
        <v>1361</v>
      </c>
      <c r="AE457">
        <v>1306</v>
      </c>
      <c r="AF457">
        <v>1202</v>
      </c>
      <c r="AG457">
        <v>1192</v>
      </c>
      <c r="AH457">
        <v>1172</v>
      </c>
      <c r="AI457">
        <v>1151</v>
      </c>
      <c r="AJ457">
        <v>1144</v>
      </c>
      <c r="AK457">
        <v>1089</v>
      </c>
      <c r="AL457">
        <v>1074</v>
      </c>
      <c r="AM457">
        <v>1012</v>
      </c>
      <c r="AN457">
        <v>997</v>
      </c>
      <c r="AO457">
        <v>937</v>
      </c>
      <c r="AP457">
        <v>878</v>
      </c>
      <c r="AQ457">
        <v>838</v>
      </c>
      <c r="AR457">
        <v>677</v>
      </c>
      <c r="AS457">
        <v>599</v>
      </c>
      <c r="AT457">
        <v>573</v>
      </c>
      <c r="AU457">
        <v>459</v>
      </c>
      <c r="AV457">
        <v>423</v>
      </c>
      <c r="AW457">
        <v>312</v>
      </c>
      <c r="AX457">
        <v>1030685</v>
      </c>
    </row>
    <row r="458" spans="1:50" x14ac:dyDescent="0.2">
      <c r="A458" t="s">
        <v>25</v>
      </c>
      <c r="C458">
        <v>456</v>
      </c>
      <c r="D458">
        <v>15</v>
      </c>
      <c r="E458" t="s">
        <v>535</v>
      </c>
      <c r="F458">
        <v>2014</v>
      </c>
      <c r="G458">
        <v>403695</v>
      </c>
      <c r="H458">
        <v>245554</v>
      </c>
      <c r="I458">
        <v>238712</v>
      </c>
      <c r="J458">
        <v>26995</v>
      </c>
      <c r="K458">
        <v>22573</v>
      </c>
      <c r="L458">
        <v>8969</v>
      </c>
      <c r="M458">
        <v>7734</v>
      </c>
      <c r="N458">
        <v>5808</v>
      </c>
      <c r="O458">
        <v>4821</v>
      </c>
      <c r="P458">
        <v>4319</v>
      </c>
      <c r="Q458">
        <v>4169</v>
      </c>
      <c r="R458">
        <v>2442</v>
      </c>
      <c r="S458">
        <v>2191</v>
      </c>
      <c r="T458">
        <v>1964</v>
      </c>
      <c r="U458">
        <v>1920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981866</v>
      </c>
    </row>
    <row r="459" spans="1:50" x14ac:dyDescent="0.2">
      <c r="A459" t="s">
        <v>25</v>
      </c>
      <c r="C459">
        <v>457</v>
      </c>
      <c r="D459">
        <v>24</v>
      </c>
      <c r="E459" t="s">
        <v>536</v>
      </c>
      <c r="F459">
        <v>2014</v>
      </c>
      <c r="G459">
        <v>436536</v>
      </c>
      <c r="H459">
        <v>217457</v>
      </c>
      <c r="I459">
        <v>152666</v>
      </c>
      <c r="J459">
        <v>108859</v>
      </c>
      <c r="K459">
        <v>11245</v>
      </c>
      <c r="L459">
        <v>7947</v>
      </c>
      <c r="M459">
        <v>6811</v>
      </c>
      <c r="N459">
        <v>6762</v>
      </c>
      <c r="O459">
        <v>4787</v>
      </c>
      <c r="P459">
        <v>4639</v>
      </c>
      <c r="Q459">
        <v>4548</v>
      </c>
      <c r="R459">
        <v>4539</v>
      </c>
      <c r="S459">
        <v>4405</v>
      </c>
      <c r="T459">
        <v>4318</v>
      </c>
      <c r="U459">
        <v>4304</v>
      </c>
      <c r="V459">
        <v>4209</v>
      </c>
      <c r="W459">
        <v>4148</v>
      </c>
      <c r="X459">
        <v>3627</v>
      </c>
      <c r="Y459">
        <v>3324</v>
      </c>
      <c r="Z459">
        <v>3300</v>
      </c>
      <c r="AA459">
        <v>2685</v>
      </c>
      <c r="AB459">
        <v>2363</v>
      </c>
      <c r="AC459">
        <v>2138</v>
      </c>
      <c r="AD459">
        <v>2010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1007627</v>
      </c>
    </row>
    <row r="460" spans="1:50" x14ac:dyDescent="0.2">
      <c r="A460" t="s">
        <v>25</v>
      </c>
      <c r="C460">
        <v>458</v>
      </c>
      <c r="D460">
        <v>15</v>
      </c>
      <c r="E460" t="s">
        <v>537</v>
      </c>
      <c r="F460">
        <v>2014</v>
      </c>
      <c r="G460">
        <v>378211</v>
      </c>
      <c r="H460">
        <v>187725</v>
      </c>
      <c r="I460">
        <v>135966</v>
      </c>
      <c r="J460">
        <v>86235</v>
      </c>
      <c r="K460">
        <v>24363</v>
      </c>
      <c r="L460">
        <v>18489</v>
      </c>
      <c r="M460">
        <v>9913</v>
      </c>
      <c r="N460">
        <v>9408</v>
      </c>
      <c r="O460">
        <v>7703</v>
      </c>
      <c r="P460">
        <v>6101</v>
      </c>
      <c r="Q460">
        <v>5613</v>
      </c>
      <c r="R460">
        <v>5307</v>
      </c>
      <c r="S460">
        <v>4891</v>
      </c>
      <c r="T460">
        <v>2982</v>
      </c>
      <c r="U460">
        <v>2966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885873</v>
      </c>
    </row>
    <row r="461" spans="1:50" x14ac:dyDescent="0.2">
      <c r="A461" t="s">
        <v>27</v>
      </c>
      <c r="C461">
        <v>459</v>
      </c>
      <c r="D461">
        <v>13</v>
      </c>
      <c r="E461" t="s">
        <v>538</v>
      </c>
      <c r="F461">
        <v>2014</v>
      </c>
      <c r="G461">
        <v>526499</v>
      </c>
      <c r="H461">
        <v>439392</v>
      </c>
      <c r="I461">
        <v>217653</v>
      </c>
      <c r="J461">
        <v>74540</v>
      </c>
      <c r="K461">
        <v>15683</v>
      </c>
      <c r="L461">
        <v>13205</v>
      </c>
      <c r="M461">
        <v>11409</v>
      </c>
      <c r="N461">
        <v>7125</v>
      </c>
      <c r="O461">
        <v>6742</v>
      </c>
      <c r="P461">
        <v>5796</v>
      </c>
      <c r="Q461">
        <v>5137</v>
      </c>
      <c r="R461">
        <v>5059</v>
      </c>
      <c r="S461">
        <v>4169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1332409</v>
      </c>
    </row>
    <row r="462" spans="1:50" x14ac:dyDescent="0.2">
      <c r="A462" t="s">
        <v>27</v>
      </c>
      <c r="C462">
        <v>460</v>
      </c>
      <c r="D462">
        <v>11</v>
      </c>
      <c r="E462" t="s">
        <v>539</v>
      </c>
      <c r="F462">
        <v>2014</v>
      </c>
      <c r="G462">
        <v>362453</v>
      </c>
      <c r="H462">
        <v>341056</v>
      </c>
      <c r="I462">
        <v>335857</v>
      </c>
      <c r="J462">
        <v>116718</v>
      </c>
      <c r="K462">
        <v>19885</v>
      </c>
      <c r="L462">
        <v>11039</v>
      </c>
      <c r="M462">
        <v>10450</v>
      </c>
      <c r="N462">
        <v>7676</v>
      </c>
      <c r="O462">
        <v>7131</v>
      </c>
      <c r="P462">
        <v>5961</v>
      </c>
      <c r="Q462">
        <v>5340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1223566</v>
      </c>
    </row>
    <row r="463" spans="1:50" x14ac:dyDescent="0.2">
      <c r="A463" t="s">
        <v>27</v>
      </c>
      <c r="C463">
        <v>461</v>
      </c>
      <c r="D463">
        <v>13</v>
      </c>
      <c r="E463" t="s">
        <v>540</v>
      </c>
      <c r="F463">
        <v>2014</v>
      </c>
      <c r="G463">
        <v>494773</v>
      </c>
      <c r="H463">
        <v>425167</v>
      </c>
      <c r="I463">
        <v>221593</v>
      </c>
      <c r="J463">
        <v>87588</v>
      </c>
      <c r="K463">
        <v>16541</v>
      </c>
      <c r="L463">
        <v>12147</v>
      </c>
      <c r="M463">
        <v>9283</v>
      </c>
      <c r="N463">
        <v>8545</v>
      </c>
      <c r="O463">
        <v>7636</v>
      </c>
      <c r="P463">
        <v>6608</v>
      </c>
      <c r="Q463">
        <v>4900</v>
      </c>
      <c r="R463">
        <v>4501</v>
      </c>
      <c r="S463">
        <v>2835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1302117</v>
      </c>
    </row>
    <row r="464" spans="1:50" x14ac:dyDescent="0.2">
      <c r="A464" t="s">
        <v>27</v>
      </c>
      <c r="C464">
        <v>462</v>
      </c>
      <c r="D464">
        <v>14</v>
      </c>
      <c r="E464" t="s">
        <v>541</v>
      </c>
      <c r="F464">
        <v>2014</v>
      </c>
      <c r="G464">
        <v>488257</v>
      </c>
      <c r="H464">
        <v>291018</v>
      </c>
      <c r="I464">
        <v>167186</v>
      </c>
      <c r="J464">
        <v>90076</v>
      </c>
      <c r="K464">
        <v>55767</v>
      </c>
      <c r="L464">
        <v>18045</v>
      </c>
      <c r="M464">
        <v>6100</v>
      </c>
      <c r="N464">
        <v>6040</v>
      </c>
      <c r="O464">
        <v>5449</v>
      </c>
      <c r="P464">
        <v>3993</v>
      </c>
      <c r="Q464">
        <v>3043</v>
      </c>
      <c r="R464">
        <v>2906</v>
      </c>
      <c r="S464">
        <v>2100</v>
      </c>
      <c r="T464">
        <v>2029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1142009</v>
      </c>
    </row>
    <row r="465" spans="1:50" x14ac:dyDescent="0.2">
      <c r="A465" t="s">
        <v>27</v>
      </c>
      <c r="C465">
        <v>463</v>
      </c>
      <c r="D465">
        <v>13</v>
      </c>
      <c r="E465" t="s">
        <v>542</v>
      </c>
      <c r="F465">
        <v>2014</v>
      </c>
      <c r="G465">
        <v>317515</v>
      </c>
      <c r="H465">
        <v>315881</v>
      </c>
      <c r="I465">
        <v>203131</v>
      </c>
      <c r="J465">
        <v>192698</v>
      </c>
      <c r="K465">
        <v>32303</v>
      </c>
      <c r="L465">
        <v>10929</v>
      </c>
      <c r="M465">
        <v>8592</v>
      </c>
      <c r="N465">
        <v>5629</v>
      </c>
      <c r="O465">
        <v>5548</v>
      </c>
      <c r="P465">
        <v>5544</v>
      </c>
      <c r="Q465">
        <v>3614</v>
      </c>
      <c r="R465">
        <v>3471</v>
      </c>
      <c r="S465">
        <v>3338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1108193</v>
      </c>
    </row>
    <row r="466" spans="1:50" x14ac:dyDescent="0.2">
      <c r="A466" t="s">
        <v>27</v>
      </c>
      <c r="C466">
        <v>464</v>
      </c>
      <c r="D466">
        <v>13</v>
      </c>
      <c r="E466" t="s">
        <v>543</v>
      </c>
      <c r="F466">
        <v>2014</v>
      </c>
      <c r="G466">
        <v>409641</v>
      </c>
      <c r="H466">
        <v>302677</v>
      </c>
      <c r="I466">
        <v>223014</v>
      </c>
      <c r="J466">
        <v>80715</v>
      </c>
      <c r="K466">
        <v>11691</v>
      </c>
      <c r="L466">
        <v>10547</v>
      </c>
      <c r="M466">
        <v>5647</v>
      </c>
      <c r="N466">
        <v>4774</v>
      </c>
      <c r="O466">
        <v>4581</v>
      </c>
      <c r="P466">
        <v>3969</v>
      </c>
      <c r="Q466">
        <v>2644</v>
      </c>
      <c r="R466">
        <v>1687</v>
      </c>
      <c r="S466">
        <v>1466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1063053</v>
      </c>
    </row>
    <row r="467" spans="1:50" x14ac:dyDescent="0.2">
      <c r="A467" t="s">
        <v>27</v>
      </c>
      <c r="C467">
        <v>465</v>
      </c>
      <c r="D467">
        <v>15</v>
      </c>
      <c r="E467" t="s">
        <v>544</v>
      </c>
      <c r="F467">
        <v>2014</v>
      </c>
      <c r="G467">
        <v>388609</v>
      </c>
      <c r="H467">
        <v>322904</v>
      </c>
      <c r="I467">
        <v>197313</v>
      </c>
      <c r="J467">
        <v>179000</v>
      </c>
      <c r="K467">
        <v>12163</v>
      </c>
      <c r="L467">
        <v>10481</v>
      </c>
      <c r="M467">
        <v>8988</v>
      </c>
      <c r="N467">
        <v>7128</v>
      </c>
      <c r="O467">
        <v>6805</v>
      </c>
      <c r="P467">
        <v>6446</v>
      </c>
      <c r="Q467">
        <v>6229</v>
      </c>
      <c r="R467">
        <v>4696</v>
      </c>
      <c r="S467">
        <v>4650</v>
      </c>
      <c r="T467">
        <v>4225</v>
      </c>
      <c r="U467">
        <v>3348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1162985</v>
      </c>
    </row>
    <row r="468" spans="1:50" x14ac:dyDescent="0.2">
      <c r="A468" t="s">
        <v>27</v>
      </c>
      <c r="C468">
        <v>466</v>
      </c>
      <c r="D468">
        <v>18</v>
      </c>
      <c r="E468" t="s">
        <v>545</v>
      </c>
      <c r="F468">
        <v>2014</v>
      </c>
      <c r="G468">
        <v>380291</v>
      </c>
      <c r="H468">
        <v>216180</v>
      </c>
      <c r="I468">
        <v>209480</v>
      </c>
      <c r="J468">
        <v>192632</v>
      </c>
      <c r="K468">
        <v>21207</v>
      </c>
      <c r="L468">
        <v>12952</v>
      </c>
      <c r="M468">
        <v>11426</v>
      </c>
      <c r="N468">
        <v>10536</v>
      </c>
      <c r="O468">
        <v>8392</v>
      </c>
      <c r="P468">
        <v>6616</v>
      </c>
      <c r="Q468">
        <v>6138</v>
      </c>
      <c r="R468">
        <v>3377</v>
      </c>
      <c r="S468">
        <v>3282</v>
      </c>
      <c r="T468">
        <v>2720</v>
      </c>
      <c r="U468">
        <v>2466</v>
      </c>
      <c r="V468">
        <v>1921</v>
      </c>
      <c r="W468">
        <v>1449</v>
      </c>
      <c r="X468">
        <v>1342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1092407</v>
      </c>
    </row>
    <row r="469" spans="1:50" x14ac:dyDescent="0.2">
      <c r="A469" t="s">
        <v>27</v>
      </c>
      <c r="C469">
        <v>467</v>
      </c>
      <c r="D469">
        <v>12</v>
      </c>
      <c r="E469" t="s">
        <v>546</v>
      </c>
      <c r="F469">
        <v>2014</v>
      </c>
      <c r="G469">
        <v>378201</v>
      </c>
      <c r="H469">
        <v>370040</v>
      </c>
      <c r="I469">
        <v>207455</v>
      </c>
      <c r="J469">
        <v>96751</v>
      </c>
      <c r="K469">
        <v>17257</v>
      </c>
      <c r="L469">
        <v>11079</v>
      </c>
      <c r="M469">
        <v>10055</v>
      </c>
      <c r="N469">
        <v>9476</v>
      </c>
      <c r="O469">
        <v>7926</v>
      </c>
      <c r="P469">
        <v>5507</v>
      </c>
      <c r="Q469">
        <v>3019</v>
      </c>
      <c r="R469">
        <v>2318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1119084</v>
      </c>
    </row>
    <row r="470" spans="1:50" x14ac:dyDescent="0.2">
      <c r="A470" t="s">
        <v>27</v>
      </c>
      <c r="C470">
        <v>468</v>
      </c>
      <c r="D470">
        <v>9</v>
      </c>
      <c r="E470" t="s">
        <v>547</v>
      </c>
      <c r="F470">
        <v>2014</v>
      </c>
      <c r="G470">
        <v>583549</v>
      </c>
      <c r="H470">
        <v>226982</v>
      </c>
      <c r="I470">
        <v>225699</v>
      </c>
      <c r="J470">
        <v>81656</v>
      </c>
      <c r="K470">
        <v>11642</v>
      </c>
      <c r="L470">
        <v>11192</v>
      </c>
      <c r="M470">
        <v>4869</v>
      </c>
      <c r="N470">
        <v>4676</v>
      </c>
      <c r="O470">
        <v>4322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1154587</v>
      </c>
    </row>
    <row r="471" spans="1:50" x14ac:dyDescent="0.2">
      <c r="A471" t="s">
        <v>27</v>
      </c>
      <c r="C471">
        <v>469</v>
      </c>
      <c r="D471">
        <v>13</v>
      </c>
      <c r="E471" t="s">
        <v>548</v>
      </c>
      <c r="F471">
        <v>2014</v>
      </c>
      <c r="G471">
        <v>426947</v>
      </c>
      <c r="H471">
        <v>408494</v>
      </c>
      <c r="I471">
        <v>289027</v>
      </c>
      <c r="J471">
        <v>101069</v>
      </c>
      <c r="K471">
        <v>11333</v>
      </c>
      <c r="L471">
        <v>10156</v>
      </c>
      <c r="M471">
        <v>8378</v>
      </c>
      <c r="N471">
        <v>6445</v>
      </c>
      <c r="O471">
        <v>6010</v>
      </c>
      <c r="P471">
        <v>5722</v>
      </c>
      <c r="Q471">
        <v>5383</v>
      </c>
      <c r="R471">
        <v>4539</v>
      </c>
      <c r="S471">
        <v>4260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1287763</v>
      </c>
    </row>
    <row r="472" spans="1:50" x14ac:dyDescent="0.2">
      <c r="A472" t="s">
        <v>27</v>
      </c>
      <c r="C472">
        <v>470</v>
      </c>
      <c r="D472">
        <v>10</v>
      </c>
      <c r="E472" t="s">
        <v>549</v>
      </c>
      <c r="F472">
        <v>2014</v>
      </c>
      <c r="G472">
        <v>438789</v>
      </c>
      <c r="H472">
        <v>367534</v>
      </c>
      <c r="I472">
        <v>329387</v>
      </c>
      <c r="J472">
        <v>74789</v>
      </c>
      <c r="K472">
        <v>7777</v>
      </c>
      <c r="L472">
        <v>7642</v>
      </c>
      <c r="M472">
        <v>7214</v>
      </c>
      <c r="N472">
        <v>6168</v>
      </c>
      <c r="O472">
        <v>4865</v>
      </c>
      <c r="P472">
        <v>3749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1247914</v>
      </c>
    </row>
    <row r="473" spans="1:50" x14ac:dyDescent="0.2">
      <c r="A473" t="s">
        <v>27</v>
      </c>
      <c r="C473">
        <v>471</v>
      </c>
      <c r="D473">
        <v>10</v>
      </c>
      <c r="E473" t="s">
        <v>550</v>
      </c>
      <c r="F473">
        <v>2014</v>
      </c>
      <c r="G473">
        <v>590451</v>
      </c>
      <c r="H473">
        <v>388684</v>
      </c>
      <c r="I473">
        <v>233670</v>
      </c>
      <c r="J473">
        <v>92218</v>
      </c>
      <c r="K473">
        <v>14626</v>
      </c>
      <c r="L473">
        <v>9116</v>
      </c>
      <c r="M473">
        <v>8658</v>
      </c>
      <c r="N473">
        <v>7952</v>
      </c>
      <c r="O473">
        <v>3992</v>
      </c>
      <c r="P473">
        <v>3829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1353196</v>
      </c>
    </row>
    <row r="474" spans="1:50" x14ac:dyDescent="0.2">
      <c r="A474" t="s">
        <v>27</v>
      </c>
      <c r="C474">
        <v>472</v>
      </c>
      <c r="D474">
        <v>12</v>
      </c>
      <c r="E474" t="s">
        <v>551</v>
      </c>
      <c r="F474">
        <v>2014</v>
      </c>
      <c r="G474">
        <v>551213</v>
      </c>
      <c r="H474">
        <v>404612</v>
      </c>
      <c r="I474">
        <v>244783</v>
      </c>
      <c r="J474">
        <v>43866</v>
      </c>
      <c r="K474">
        <v>9965</v>
      </c>
      <c r="L474">
        <v>9207</v>
      </c>
      <c r="M474">
        <v>8738</v>
      </c>
      <c r="N474">
        <v>3589</v>
      </c>
      <c r="O474">
        <v>2848</v>
      </c>
      <c r="P474">
        <v>2624</v>
      </c>
      <c r="Q474">
        <v>1172</v>
      </c>
      <c r="R474">
        <v>1071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1283688</v>
      </c>
    </row>
    <row r="475" spans="1:50" x14ac:dyDescent="0.2">
      <c r="A475" t="s">
        <v>27</v>
      </c>
      <c r="C475">
        <v>473</v>
      </c>
      <c r="D475">
        <v>13</v>
      </c>
      <c r="E475" t="s">
        <v>552</v>
      </c>
      <c r="F475">
        <v>2014</v>
      </c>
      <c r="G475">
        <v>479206</v>
      </c>
      <c r="H475">
        <v>272433</v>
      </c>
      <c r="I475">
        <v>230401</v>
      </c>
      <c r="J475">
        <v>30491</v>
      </c>
      <c r="K475">
        <v>10979</v>
      </c>
      <c r="L475">
        <v>5458</v>
      </c>
      <c r="M475">
        <v>5036</v>
      </c>
      <c r="N475">
        <v>4416</v>
      </c>
      <c r="O475">
        <v>3555</v>
      </c>
      <c r="P475">
        <v>3132</v>
      </c>
      <c r="Q475">
        <v>2200</v>
      </c>
      <c r="R475">
        <v>2036</v>
      </c>
      <c r="S475">
        <v>1787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1051130</v>
      </c>
    </row>
    <row r="476" spans="1:50" x14ac:dyDescent="0.2">
      <c r="A476" t="s">
        <v>27</v>
      </c>
      <c r="C476">
        <v>474</v>
      </c>
      <c r="D476">
        <v>10</v>
      </c>
      <c r="E476" t="s">
        <v>553</v>
      </c>
      <c r="F476">
        <v>2014</v>
      </c>
      <c r="G476">
        <v>483244</v>
      </c>
      <c r="H476">
        <v>328310</v>
      </c>
      <c r="I476">
        <v>254819</v>
      </c>
      <c r="J476">
        <v>34116</v>
      </c>
      <c r="K476">
        <v>16837</v>
      </c>
      <c r="L476">
        <v>4823</v>
      </c>
      <c r="M476">
        <v>4077</v>
      </c>
      <c r="N476">
        <v>3256</v>
      </c>
      <c r="O476">
        <v>1618</v>
      </c>
      <c r="P476">
        <v>1544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1132644</v>
      </c>
    </row>
    <row r="477" spans="1:50" x14ac:dyDescent="0.2">
      <c r="A477" t="s">
        <v>27</v>
      </c>
      <c r="C477">
        <v>475</v>
      </c>
      <c r="D477">
        <v>13</v>
      </c>
      <c r="E477" t="s">
        <v>554</v>
      </c>
      <c r="F477">
        <v>2014</v>
      </c>
      <c r="G477">
        <v>525387</v>
      </c>
      <c r="H477">
        <v>352246</v>
      </c>
      <c r="I477">
        <v>296608</v>
      </c>
      <c r="J477">
        <v>40660</v>
      </c>
      <c r="K477">
        <v>12700</v>
      </c>
      <c r="L477">
        <v>12178</v>
      </c>
      <c r="M477">
        <v>6911</v>
      </c>
      <c r="N477">
        <v>6895</v>
      </c>
      <c r="O477">
        <v>6375</v>
      </c>
      <c r="P477">
        <v>4122</v>
      </c>
      <c r="Q477">
        <v>2439</v>
      </c>
      <c r="R477">
        <v>1478</v>
      </c>
      <c r="S477">
        <v>1332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1269331</v>
      </c>
    </row>
    <row r="478" spans="1:50" x14ac:dyDescent="0.2">
      <c r="A478" t="s">
        <v>27</v>
      </c>
      <c r="C478">
        <v>476</v>
      </c>
      <c r="D478">
        <v>10</v>
      </c>
      <c r="E478" t="s">
        <v>555</v>
      </c>
      <c r="F478">
        <v>2014</v>
      </c>
      <c r="G478">
        <v>492326</v>
      </c>
      <c r="H478">
        <v>382667</v>
      </c>
      <c r="I478">
        <v>233887</v>
      </c>
      <c r="J478">
        <v>102130</v>
      </c>
      <c r="K478">
        <v>25178</v>
      </c>
      <c r="L478">
        <v>9971</v>
      </c>
      <c r="M478">
        <v>8088</v>
      </c>
      <c r="N478">
        <v>7016</v>
      </c>
      <c r="O478">
        <v>6532</v>
      </c>
      <c r="P478">
        <v>5976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1273771</v>
      </c>
    </row>
    <row r="479" spans="1:50" x14ac:dyDescent="0.2">
      <c r="A479" t="s">
        <v>27</v>
      </c>
      <c r="C479">
        <v>477</v>
      </c>
      <c r="D479">
        <v>11</v>
      </c>
      <c r="E479" t="s">
        <v>556</v>
      </c>
      <c r="F479">
        <v>2014</v>
      </c>
      <c r="G479">
        <v>494746</v>
      </c>
      <c r="H479">
        <v>386362</v>
      </c>
      <c r="I479">
        <v>117454</v>
      </c>
      <c r="J479">
        <v>113206</v>
      </c>
      <c r="K479">
        <v>38493</v>
      </c>
      <c r="L479">
        <v>13333</v>
      </c>
      <c r="M479">
        <v>8819</v>
      </c>
      <c r="N479">
        <v>5908</v>
      </c>
      <c r="O479">
        <v>5161</v>
      </c>
      <c r="P479">
        <v>2909</v>
      </c>
      <c r="Q479">
        <v>2657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1189048</v>
      </c>
    </row>
    <row r="480" spans="1:50" x14ac:dyDescent="0.2">
      <c r="A480" t="s">
        <v>27</v>
      </c>
      <c r="C480">
        <v>478</v>
      </c>
      <c r="D480">
        <v>11</v>
      </c>
      <c r="E480" t="s">
        <v>557</v>
      </c>
      <c r="F480">
        <v>2014</v>
      </c>
      <c r="G480">
        <v>630262</v>
      </c>
      <c r="H480">
        <v>491494</v>
      </c>
      <c r="I480">
        <v>66538</v>
      </c>
      <c r="J480">
        <v>47376</v>
      </c>
      <c r="K480">
        <v>10203</v>
      </c>
      <c r="L480">
        <v>9342</v>
      </c>
      <c r="M480">
        <v>4693</v>
      </c>
      <c r="N480">
        <v>4395</v>
      </c>
      <c r="O480">
        <v>3221</v>
      </c>
      <c r="P480">
        <v>2100</v>
      </c>
      <c r="Q480">
        <v>1361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1270985</v>
      </c>
    </row>
    <row r="481" spans="1:50" x14ac:dyDescent="0.2">
      <c r="A481" t="s">
        <v>27</v>
      </c>
      <c r="C481">
        <v>479</v>
      </c>
      <c r="D481">
        <v>17</v>
      </c>
      <c r="E481" t="s">
        <v>558</v>
      </c>
      <c r="F481">
        <v>2014</v>
      </c>
      <c r="G481">
        <v>508481</v>
      </c>
      <c r="H481">
        <v>437183</v>
      </c>
      <c r="I481">
        <v>200858</v>
      </c>
      <c r="J481">
        <v>63047</v>
      </c>
      <c r="K481">
        <v>10657</v>
      </c>
      <c r="L481">
        <v>8740</v>
      </c>
      <c r="M481">
        <v>6634</v>
      </c>
      <c r="N481">
        <v>6633</v>
      </c>
      <c r="O481">
        <v>3607</v>
      </c>
      <c r="P481">
        <v>3272</v>
      </c>
      <c r="Q481">
        <v>2892</v>
      </c>
      <c r="R481">
        <v>2529</v>
      </c>
      <c r="S481">
        <v>1856</v>
      </c>
      <c r="T481">
        <v>1348</v>
      </c>
      <c r="U481">
        <v>1322</v>
      </c>
      <c r="V481">
        <v>1260</v>
      </c>
      <c r="W481">
        <v>977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1261296</v>
      </c>
    </row>
    <row r="482" spans="1:50" x14ac:dyDescent="0.2">
      <c r="A482" t="s">
        <v>27</v>
      </c>
      <c r="C482">
        <v>480</v>
      </c>
      <c r="D482">
        <v>14</v>
      </c>
      <c r="E482" t="s">
        <v>559</v>
      </c>
      <c r="F482">
        <v>2014</v>
      </c>
      <c r="G482">
        <v>584244</v>
      </c>
      <c r="H482">
        <v>459041</v>
      </c>
      <c r="I482">
        <v>155511</v>
      </c>
      <c r="J482">
        <v>26344</v>
      </c>
      <c r="K482">
        <v>15667</v>
      </c>
      <c r="L482">
        <v>11317</v>
      </c>
      <c r="M482">
        <v>3945</v>
      </c>
      <c r="N482">
        <v>3406</v>
      </c>
      <c r="O482">
        <v>3067</v>
      </c>
      <c r="P482">
        <v>2885</v>
      </c>
      <c r="Q482">
        <v>2837</v>
      </c>
      <c r="R482">
        <v>1464</v>
      </c>
      <c r="S482">
        <v>1340</v>
      </c>
      <c r="T482">
        <v>1294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1272362</v>
      </c>
    </row>
    <row r="483" spans="1:50" x14ac:dyDescent="0.2">
      <c r="A483" t="s">
        <v>27</v>
      </c>
      <c r="C483">
        <v>481</v>
      </c>
      <c r="D483">
        <v>16</v>
      </c>
      <c r="E483" t="s">
        <v>560</v>
      </c>
      <c r="F483">
        <v>2014</v>
      </c>
      <c r="G483">
        <v>431715</v>
      </c>
      <c r="H483">
        <v>295376</v>
      </c>
      <c r="I483">
        <v>278414</v>
      </c>
      <c r="J483">
        <v>113453</v>
      </c>
      <c r="K483">
        <v>19511</v>
      </c>
      <c r="L483">
        <v>4564</v>
      </c>
      <c r="M483">
        <v>4335</v>
      </c>
      <c r="N483">
        <v>3994</v>
      </c>
      <c r="O483">
        <v>3776</v>
      </c>
      <c r="P483">
        <v>3356</v>
      </c>
      <c r="Q483">
        <v>2921</v>
      </c>
      <c r="R483">
        <v>1844</v>
      </c>
      <c r="S483">
        <v>1554</v>
      </c>
      <c r="T483">
        <v>1195</v>
      </c>
      <c r="U483">
        <v>1103</v>
      </c>
      <c r="V483">
        <v>875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1167986</v>
      </c>
    </row>
    <row r="484" spans="1:50" x14ac:dyDescent="0.2">
      <c r="A484" t="s">
        <v>27</v>
      </c>
      <c r="C484">
        <v>482</v>
      </c>
      <c r="D484">
        <v>19</v>
      </c>
      <c r="E484" t="s">
        <v>561</v>
      </c>
      <c r="F484">
        <v>2014</v>
      </c>
      <c r="G484">
        <v>343687</v>
      </c>
      <c r="H484">
        <v>247461</v>
      </c>
      <c r="I484">
        <v>196053</v>
      </c>
      <c r="J484">
        <v>130783</v>
      </c>
      <c r="K484">
        <v>9103</v>
      </c>
      <c r="L484">
        <v>4808</v>
      </c>
      <c r="M484">
        <v>4399</v>
      </c>
      <c r="N484">
        <v>4168</v>
      </c>
      <c r="O484">
        <v>3752</v>
      </c>
      <c r="P484">
        <v>2127</v>
      </c>
      <c r="Q484">
        <v>1860</v>
      </c>
      <c r="R484">
        <v>1810</v>
      </c>
      <c r="S484">
        <v>1435</v>
      </c>
      <c r="T484">
        <v>1149</v>
      </c>
      <c r="U484">
        <v>749</v>
      </c>
      <c r="V484">
        <v>708</v>
      </c>
      <c r="W484">
        <v>660</v>
      </c>
      <c r="X484">
        <v>548</v>
      </c>
      <c r="Y484">
        <v>518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955778</v>
      </c>
    </row>
    <row r="485" spans="1:50" x14ac:dyDescent="0.2">
      <c r="A485" t="s">
        <v>27</v>
      </c>
      <c r="C485">
        <v>483</v>
      </c>
      <c r="D485">
        <v>16</v>
      </c>
      <c r="E485" t="s">
        <v>562</v>
      </c>
      <c r="F485">
        <v>2014</v>
      </c>
      <c r="G485">
        <v>488461</v>
      </c>
      <c r="H485">
        <v>291505</v>
      </c>
      <c r="I485">
        <v>248120</v>
      </c>
      <c r="J485">
        <v>63254</v>
      </c>
      <c r="K485">
        <v>9929</v>
      </c>
      <c r="L485">
        <v>4441</v>
      </c>
      <c r="M485">
        <v>3241</v>
      </c>
      <c r="N485">
        <v>2680</v>
      </c>
      <c r="O485">
        <v>2343</v>
      </c>
      <c r="P485">
        <v>2186</v>
      </c>
      <c r="Q485">
        <v>2105</v>
      </c>
      <c r="R485">
        <v>2034</v>
      </c>
      <c r="S485">
        <v>1814</v>
      </c>
      <c r="T485">
        <v>1572</v>
      </c>
      <c r="U485">
        <v>1079</v>
      </c>
      <c r="V485">
        <v>635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1125399</v>
      </c>
    </row>
    <row r="486" spans="1:50" x14ac:dyDescent="0.2">
      <c r="A486" t="s">
        <v>27</v>
      </c>
      <c r="C486">
        <v>484</v>
      </c>
      <c r="D486">
        <v>14</v>
      </c>
      <c r="E486" t="s">
        <v>563</v>
      </c>
      <c r="F486">
        <v>2014</v>
      </c>
      <c r="G486">
        <v>570785</v>
      </c>
      <c r="H486">
        <v>369563</v>
      </c>
      <c r="I486">
        <v>137137</v>
      </c>
      <c r="J486">
        <v>67826</v>
      </c>
      <c r="K486">
        <v>8277</v>
      </c>
      <c r="L486">
        <v>6607</v>
      </c>
      <c r="M486">
        <v>5709</v>
      </c>
      <c r="N486">
        <v>3947</v>
      </c>
      <c r="O486">
        <v>3918</v>
      </c>
      <c r="P486">
        <v>2990</v>
      </c>
      <c r="Q486">
        <v>2902</v>
      </c>
      <c r="R486">
        <v>2529</v>
      </c>
      <c r="S486">
        <v>2437</v>
      </c>
      <c r="T486">
        <v>1400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1186027</v>
      </c>
    </row>
    <row r="487" spans="1:50" x14ac:dyDescent="0.2">
      <c r="A487" t="s">
        <v>27</v>
      </c>
      <c r="C487">
        <v>485</v>
      </c>
      <c r="D487">
        <v>11</v>
      </c>
      <c r="E487" t="s">
        <v>564</v>
      </c>
      <c r="F487">
        <v>2014</v>
      </c>
      <c r="G487">
        <v>514933</v>
      </c>
      <c r="H487">
        <v>362407</v>
      </c>
      <c r="I487">
        <v>287712</v>
      </c>
      <c r="J487">
        <v>86099</v>
      </c>
      <c r="K487">
        <v>15374</v>
      </c>
      <c r="L487">
        <v>6613</v>
      </c>
      <c r="M487">
        <v>4277</v>
      </c>
      <c r="N487">
        <v>4240</v>
      </c>
      <c r="O487">
        <v>3406</v>
      </c>
      <c r="P487">
        <v>2698</v>
      </c>
      <c r="Q487">
        <v>2674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1290433</v>
      </c>
    </row>
    <row r="488" spans="1:50" x14ac:dyDescent="0.2">
      <c r="A488" t="s">
        <v>27</v>
      </c>
      <c r="C488">
        <v>486</v>
      </c>
      <c r="D488">
        <v>10</v>
      </c>
      <c r="E488" t="s">
        <v>565</v>
      </c>
      <c r="F488">
        <v>2014</v>
      </c>
      <c r="G488">
        <v>614312</v>
      </c>
      <c r="H488">
        <v>425228</v>
      </c>
      <c r="I488">
        <v>221271</v>
      </c>
      <c r="J488">
        <v>42226</v>
      </c>
      <c r="K488">
        <v>16517</v>
      </c>
      <c r="L488">
        <v>9152</v>
      </c>
      <c r="M488">
        <v>7682</v>
      </c>
      <c r="N488">
        <v>5519</v>
      </c>
      <c r="O488">
        <v>3766</v>
      </c>
      <c r="P488">
        <v>3197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1348870</v>
      </c>
    </row>
    <row r="489" spans="1:50" x14ac:dyDescent="0.2">
      <c r="A489" t="s">
        <v>27</v>
      </c>
      <c r="C489">
        <v>487</v>
      </c>
      <c r="D489">
        <v>6</v>
      </c>
      <c r="E489" t="s">
        <v>566</v>
      </c>
      <c r="F489">
        <v>2014</v>
      </c>
      <c r="G489">
        <v>748764</v>
      </c>
      <c r="H489">
        <v>401919</v>
      </c>
      <c r="I489">
        <v>158480</v>
      </c>
      <c r="J489">
        <v>27872</v>
      </c>
      <c r="K489">
        <v>17837</v>
      </c>
      <c r="L489">
        <v>7062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1361934</v>
      </c>
    </row>
    <row r="490" spans="1:50" x14ac:dyDescent="0.2">
      <c r="A490" t="s">
        <v>27</v>
      </c>
      <c r="C490">
        <v>488</v>
      </c>
      <c r="D490">
        <v>11</v>
      </c>
      <c r="E490" t="s">
        <v>567</v>
      </c>
      <c r="F490">
        <v>2014</v>
      </c>
      <c r="G490">
        <v>716928</v>
      </c>
      <c r="H490">
        <v>470447</v>
      </c>
      <c r="I490">
        <v>86265</v>
      </c>
      <c r="J490">
        <v>29645</v>
      </c>
      <c r="K490">
        <v>11643</v>
      </c>
      <c r="L490">
        <v>10197</v>
      </c>
      <c r="M490">
        <v>3609</v>
      </c>
      <c r="N490">
        <v>3110</v>
      </c>
      <c r="O490">
        <v>2658</v>
      </c>
      <c r="P490">
        <v>1682</v>
      </c>
      <c r="Q490">
        <v>1500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1337684</v>
      </c>
    </row>
    <row r="491" spans="1:50" x14ac:dyDescent="0.2">
      <c r="A491" t="s">
        <v>27</v>
      </c>
      <c r="C491">
        <v>489</v>
      </c>
      <c r="D491">
        <v>8</v>
      </c>
      <c r="E491" t="s">
        <v>568</v>
      </c>
      <c r="F491">
        <v>2014</v>
      </c>
      <c r="G491">
        <v>676749</v>
      </c>
      <c r="H491">
        <v>447259</v>
      </c>
      <c r="I491">
        <v>111082</v>
      </c>
      <c r="J491">
        <v>27230</v>
      </c>
      <c r="K491">
        <v>9598</v>
      </c>
      <c r="L491">
        <v>8298</v>
      </c>
      <c r="M491">
        <v>7335</v>
      </c>
      <c r="N491">
        <v>3260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1290811</v>
      </c>
    </row>
    <row r="492" spans="1:50" x14ac:dyDescent="0.2">
      <c r="A492" t="s">
        <v>27</v>
      </c>
      <c r="C492">
        <v>490</v>
      </c>
      <c r="D492">
        <v>11</v>
      </c>
      <c r="E492" t="s">
        <v>569</v>
      </c>
      <c r="F492">
        <v>2014</v>
      </c>
      <c r="G492">
        <v>685696</v>
      </c>
      <c r="H492">
        <v>424805</v>
      </c>
      <c r="I492">
        <v>123128</v>
      </c>
      <c r="J492">
        <v>94842</v>
      </c>
      <c r="K492">
        <v>14418</v>
      </c>
      <c r="L492">
        <v>8080</v>
      </c>
      <c r="M492">
        <v>5547</v>
      </c>
      <c r="N492">
        <v>4498</v>
      </c>
      <c r="O492">
        <v>2154</v>
      </c>
      <c r="P492">
        <v>1983</v>
      </c>
      <c r="Q492">
        <v>1758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1366909</v>
      </c>
    </row>
    <row r="493" spans="1:50" x14ac:dyDescent="0.2">
      <c r="A493" t="s">
        <v>27</v>
      </c>
      <c r="C493">
        <v>491</v>
      </c>
      <c r="D493">
        <v>14</v>
      </c>
      <c r="E493" t="s">
        <v>570</v>
      </c>
      <c r="F493">
        <v>2014</v>
      </c>
      <c r="G493">
        <v>674504</v>
      </c>
      <c r="H493">
        <v>326621</v>
      </c>
      <c r="I493">
        <v>122459</v>
      </c>
      <c r="J493">
        <v>40513</v>
      </c>
      <c r="K493">
        <v>22935</v>
      </c>
      <c r="L493">
        <v>15114</v>
      </c>
      <c r="M493">
        <v>8616</v>
      </c>
      <c r="N493">
        <v>8478</v>
      </c>
      <c r="O493">
        <v>8364</v>
      </c>
      <c r="P493">
        <v>7608</v>
      </c>
      <c r="Q493">
        <v>7453</v>
      </c>
      <c r="R493">
        <v>6013</v>
      </c>
      <c r="S493">
        <v>5058</v>
      </c>
      <c r="T493">
        <v>3877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1257613</v>
      </c>
    </row>
    <row r="494" spans="1:50" x14ac:dyDescent="0.2">
      <c r="A494" t="s">
        <v>27</v>
      </c>
      <c r="C494">
        <v>492</v>
      </c>
      <c r="D494">
        <v>11</v>
      </c>
      <c r="E494" t="s">
        <v>571</v>
      </c>
      <c r="F494">
        <v>2014</v>
      </c>
      <c r="G494">
        <v>580441</v>
      </c>
      <c r="H494">
        <v>395313</v>
      </c>
      <c r="I494">
        <v>180071</v>
      </c>
      <c r="J494">
        <v>48914</v>
      </c>
      <c r="K494">
        <v>13616</v>
      </c>
      <c r="L494">
        <v>9800</v>
      </c>
      <c r="M494">
        <v>8640</v>
      </c>
      <c r="N494">
        <v>7881</v>
      </c>
      <c r="O494">
        <v>6070</v>
      </c>
      <c r="P494">
        <v>5339</v>
      </c>
      <c r="Q494">
        <v>4663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1260748</v>
      </c>
    </row>
    <row r="495" spans="1:50" x14ac:dyDescent="0.2">
      <c r="A495" t="s">
        <v>27</v>
      </c>
      <c r="C495">
        <v>493</v>
      </c>
      <c r="D495">
        <v>13</v>
      </c>
      <c r="E495" t="s">
        <v>572</v>
      </c>
      <c r="F495">
        <v>2014</v>
      </c>
      <c r="G495">
        <v>468277</v>
      </c>
      <c r="H495">
        <v>314400</v>
      </c>
      <c r="I495">
        <v>257923</v>
      </c>
      <c r="J495">
        <v>86236</v>
      </c>
      <c r="K495">
        <v>16726</v>
      </c>
      <c r="L495">
        <v>11266</v>
      </c>
      <c r="M495">
        <v>9850</v>
      </c>
      <c r="N495">
        <v>9012</v>
      </c>
      <c r="O495">
        <v>7386</v>
      </c>
      <c r="P495">
        <v>7168</v>
      </c>
      <c r="Q495">
        <v>6774</v>
      </c>
      <c r="R495">
        <v>5584</v>
      </c>
      <c r="S495">
        <v>4073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1204675</v>
      </c>
    </row>
    <row r="496" spans="1:50" x14ac:dyDescent="0.2">
      <c r="A496" t="s">
        <v>27</v>
      </c>
      <c r="C496">
        <v>494</v>
      </c>
      <c r="D496">
        <v>15</v>
      </c>
      <c r="E496" t="s">
        <v>573</v>
      </c>
      <c r="F496">
        <v>2014</v>
      </c>
      <c r="G496">
        <v>483455</v>
      </c>
      <c r="H496">
        <v>384949</v>
      </c>
      <c r="I496">
        <v>251183</v>
      </c>
      <c r="J496">
        <v>23682</v>
      </c>
      <c r="K496">
        <v>22021</v>
      </c>
      <c r="L496">
        <v>10229</v>
      </c>
      <c r="M496">
        <v>9125</v>
      </c>
      <c r="N496">
        <v>9045</v>
      </c>
      <c r="O496">
        <v>7579</v>
      </c>
      <c r="P496">
        <v>7564</v>
      </c>
      <c r="Q496">
        <v>7388</v>
      </c>
      <c r="R496">
        <v>6209</v>
      </c>
      <c r="S496">
        <v>5909</v>
      </c>
      <c r="T496">
        <v>4876</v>
      </c>
      <c r="U496">
        <v>3105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1236319</v>
      </c>
    </row>
    <row r="497" spans="1:50" x14ac:dyDescent="0.2">
      <c r="A497" t="s">
        <v>27</v>
      </c>
      <c r="C497">
        <v>495</v>
      </c>
      <c r="D497">
        <v>10</v>
      </c>
      <c r="E497" t="s">
        <v>574</v>
      </c>
      <c r="F497">
        <v>2014</v>
      </c>
      <c r="G497">
        <v>578870</v>
      </c>
      <c r="H497">
        <v>429185</v>
      </c>
      <c r="I497">
        <v>179530</v>
      </c>
      <c r="J497">
        <v>27054</v>
      </c>
      <c r="K497">
        <v>20928</v>
      </c>
      <c r="L497">
        <v>10127</v>
      </c>
      <c r="M497">
        <v>7816</v>
      </c>
      <c r="N497">
        <v>6854</v>
      </c>
      <c r="O497">
        <v>6820</v>
      </c>
      <c r="P497">
        <v>4886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1272070</v>
      </c>
    </row>
    <row r="498" spans="1:50" x14ac:dyDescent="0.2">
      <c r="A498" t="s">
        <v>27</v>
      </c>
      <c r="C498">
        <v>496</v>
      </c>
      <c r="D498">
        <v>10</v>
      </c>
      <c r="E498" t="s">
        <v>575</v>
      </c>
      <c r="F498">
        <v>2014</v>
      </c>
      <c r="G498">
        <v>574560</v>
      </c>
      <c r="H498">
        <v>460181</v>
      </c>
      <c r="I498">
        <v>170828</v>
      </c>
      <c r="J498">
        <v>68884</v>
      </c>
      <c r="K498">
        <v>13951</v>
      </c>
      <c r="L498">
        <v>9666</v>
      </c>
      <c r="M498">
        <v>7981</v>
      </c>
      <c r="N498">
        <v>5919</v>
      </c>
      <c r="O498">
        <v>5442</v>
      </c>
      <c r="P498">
        <v>3410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1320822</v>
      </c>
    </row>
    <row r="499" spans="1:50" x14ac:dyDescent="0.2">
      <c r="A499" t="s">
        <v>27</v>
      </c>
      <c r="C499">
        <v>497</v>
      </c>
      <c r="D499">
        <v>9</v>
      </c>
      <c r="E499" t="s">
        <v>576</v>
      </c>
      <c r="F499">
        <v>2014</v>
      </c>
      <c r="G499">
        <v>554521</v>
      </c>
      <c r="H499">
        <v>447190</v>
      </c>
      <c r="I499">
        <v>237205</v>
      </c>
      <c r="J499">
        <v>44355</v>
      </c>
      <c r="K499">
        <v>16886</v>
      </c>
      <c r="L499">
        <v>11862</v>
      </c>
      <c r="M499">
        <v>7574</v>
      </c>
      <c r="N499">
        <v>6665</v>
      </c>
      <c r="O499">
        <v>4984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1331242</v>
      </c>
    </row>
    <row r="500" spans="1:50" x14ac:dyDescent="0.2">
      <c r="A500" t="s">
        <v>27</v>
      </c>
      <c r="C500">
        <v>498</v>
      </c>
      <c r="D500">
        <v>15</v>
      </c>
      <c r="E500" t="s">
        <v>577</v>
      </c>
      <c r="F500">
        <v>2014</v>
      </c>
      <c r="G500">
        <v>419983</v>
      </c>
      <c r="H500">
        <v>349503</v>
      </c>
      <c r="I500">
        <v>255829</v>
      </c>
      <c r="J500">
        <v>48502</v>
      </c>
      <c r="K500">
        <v>14263</v>
      </c>
      <c r="L500">
        <v>11479</v>
      </c>
      <c r="M500">
        <v>10227</v>
      </c>
      <c r="N500">
        <v>5728</v>
      </c>
      <c r="O500">
        <v>5016</v>
      </c>
      <c r="P500">
        <v>4947</v>
      </c>
      <c r="Q500">
        <v>4663</v>
      </c>
      <c r="R500">
        <v>4256</v>
      </c>
      <c r="S500">
        <v>3115</v>
      </c>
      <c r="T500">
        <v>2450</v>
      </c>
      <c r="U500">
        <v>2434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1142395</v>
      </c>
    </row>
    <row r="501" spans="1:50" x14ac:dyDescent="0.2">
      <c r="A501" t="s">
        <v>27</v>
      </c>
      <c r="C501">
        <v>499</v>
      </c>
      <c r="D501">
        <v>8</v>
      </c>
      <c r="E501" t="s">
        <v>578</v>
      </c>
      <c r="F501">
        <v>2014</v>
      </c>
      <c r="G501">
        <v>630693</v>
      </c>
      <c r="H501">
        <v>394581</v>
      </c>
      <c r="I501">
        <v>197474</v>
      </c>
      <c r="J501">
        <v>46953</v>
      </c>
      <c r="K501">
        <v>17322</v>
      </c>
      <c r="L501">
        <v>6371</v>
      </c>
      <c r="M501">
        <v>5952</v>
      </c>
      <c r="N501">
        <v>5410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1304756</v>
      </c>
    </row>
    <row r="502" spans="1:50" x14ac:dyDescent="0.2">
      <c r="A502" t="s">
        <v>27</v>
      </c>
      <c r="C502">
        <v>500</v>
      </c>
      <c r="D502">
        <v>12</v>
      </c>
      <c r="E502" t="s">
        <v>579</v>
      </c>
      <c r="F502">
        <v>2014</v>
      </c>
      <c r="G502">
        <v>460568</v>
      </c>
      <c r="H502">
        <v>393305</v>
      </c>
      <c r="I502">
        <v>235753</v>
      </c>
      <c r="J502">
        <v>132084</v>
      </c>
      <c r="K502">
        <v>14557</v>
      </c>
      <c r="L502">
        <v>7989</v>
      </c>
      <c r="M502">
        <v>7194</v>
      </c>
      <c r="N502">
        <v>7141</v>
      </c>
      <c r="O502">
        <v>6593</v>
      </c>
      <c r="P502">
        <v>5448</v>
      </c>
      <c r="Q502">
        <v>2982</v>
      </c>
      <c r="R502">
        <v>2205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1275819</v>
      </c>
    </row>
    <row r="503" spans="1:50" x14ac:dyDescent="0.2">
      <c r="A503" t="s">
        <v>29</v>
      </c>
      <c r="C503">
        <v>501</v>
      </c>
      <c r="D503">
        <v>15</v>
      </c>
      <c r="E503" t="s">
        <v>580</v>
      </c>
      <c r="F503">
        <v>2014</v>
      </c>
      <c r="G503">
        <v>585336</v>
      </c>
      <c r="H503">
        <v>438100</v>
      </c>
      <c r="I503">
        <v>31104</v>
      </c>
      <c r="J503">
        <v>21633</v>
      </c>
      <c r="K503">
        <v>15515</v>
      </c>
      <c r="L503">
        <v>14849</v>
      </c>
      <c r="M503">
        <v>14702</v>
      </c>
      <c r="N503">
        <v>11691</v>
      </c>
      <c r="O503">
        <v>11384</v>
      </c>
      <c r="P503">
        <v>10861</v>
      </c>
      <c r="Q503">
        <v>7577</v>
      </c>
      <c r="R503">
        <v>7374</v>
      </c>
      <c r="S503">
        <v>6146</v>
      </c>
      <c r="T503">
        <v>6051</v>
      </c>
      <c r="U503">
        <v>4998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1187321</v>
      </c>
    </row>
    <row r="504" spans="1:50" x14ac:dyDescent="0.2">
      <c r="A504" t="s">
        <v>29</v>
      </c>
      <c r="C504">
        <v>502</v>
      </c>
      <c r="D504">
        <v>13</v>
      </c>
      <c r="E504" t="s">
        <v>581</v>
      </c>
      <c r="F504">
        <v>2014</v>
      </c>
      <c r="G504">
        <v>662478</v>
      </c>
      <c r="H504">
        <v>445728</v>
      </c>
      <c r="I504">
        <v>28480</v>
      </c>
      <c r="J504">
        <v>27152</v>
      </c>
      <c r="K504">
        <v>12860</v>
      </c>
      <c r="L504">
        <v>12133</v>
      </c>
      <c r="M504">
        <v>11227</v>
      </c>
      <c r="N504">
        <v>11098</v>
      </c>
      <c r="O504">
        <v>8747</v>
      </c>
      <c r="P504">
        <v>8046</v>
      </c>
      <c r="Q504">
        <v>7975</v>
      </c>
      <c r="R504">
        <v>5168</v>
      </c>
      <c r="S504">
        <v>5094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1246186</v>
      </c>
    </row>
    <row r="505" spans="1:50" x14ac:dyDescent="0.2">
      <c r="A505" t="s">
        <v>29</v>
      </c>
      <c r="C505">
        <v>503</v>
      </c>
      <c r="D505">
        <v>16</v>
      </c>
      <c r="E505" t="s">
        <v>582</v>
      </c>
      <c r="F505">
        <v>2014</v>
      </c>
      <c r="G505">
        <v>518909</v>
      </c>
      <c r="H505">
        <v>343948</v>
      </c>
      <c r="I505">
        <v>125617</v>
      </c>
      <c r="J505">
        <v>18438</v>
      </c>
      <c r="K505">
        <v>16862</v>
      </c>
      <c r="L505">
        <v>8982</v>
      </c>
      <c r="M505">
        <v>7535</v>
      </c>
      <c r="N505">
        <v>6275</v>
      </c>
      <c r="O505">
        <v>5309</v>
      </c>
      <c r="P505">
        <v>3977</v>
      </c>
      <c r="Q505">
        <v>3208</v>
      </c>
      <c r="R505">
        <v>2962</v>
      </c>
      <c r="S505">
        <v>2890</v>
      </c>
      <c r="T505">
        <v>2859</v>
      </c>
      <c r="U505">
        <v>2852</v>
      </c>
      <c r="V505">
        <v>2724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1073347</v>
      </c>
    </row>
    <row r="506" spans="1:50" x14ac:dyDescent="0.2">
      <c r="A506" t="s">
        <v>29</v>
      </c>
      <c r="C506">
        <v>504</v>
      </c>
      <c r="D506">
        <v>25</v>
      </c>
      <c r="E506" t="s">
        <v>583</v>
      </c>
      <c r="F506">
        <v>2014</v>
      </c>
      <c r="G506">
        <v>439002</v>
      </c>
      <c r="H506">
        <v>434737</v>
      </c>
      <c r="I506">
        <v>52753</v>
      </c>
      <c r="J506">
        <v>18459</v>
      </c>
      <c r="K506">
        <v>14594</v>
      </c>
      <c r="L506">
        <v>14198</v>
      </c>
      <c r="M506">
        <v>9495</v>
      </c>
      <c r="N506">
        <v>8570</v>
      </c>
      <c r="O506">
        <v>6919</v>
      </c>
      <c r="P506">
        <v>6461</v>
      </c>
      <c r="Q506">
        <v>5657</v>
      </c>
      <c r="R506">
        <v>5238</v>
      </c>
      <c r="S506">
        <v>4265</v>
      </c>
      <c r="T506">
        <v>4111</v>
      </c>
      <c r="U506">
        <v>3676</v>
      </c>
      <c r="V506">
        <v>2768</v>
      </c>
      <c r="W506">
        <v>2728</v>
      </c>
      <c r="X506">
        <v>2700</v>
      </c>
      <c r="Y506">
        <v>2679</v>
      </c>
      <c r="Z506">
        <v>2671</v>
      </c>
      <c r="AA506">
        <v>2478</v>
      </c>
      <c r="AB506">
        <v>2422</v>
      </c>
      <c r="AC506">
        <v>2333</v>
      </c>
      <c r="AD506">
        <v>1998</v>
      </c>
      <c r="AE506">
        <v>1808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1052720</v>
      </c>
    </row>
    <row r="507" spans="1:50" x14ac:dyDescent="0.2">
      <c r="A507" t="s">
        <v>29</v>
      </c>
      <c r="C507">
        <v>505</v>
      </c>
      <c r="D507">
        <v>26</v>
      </c>
      <c r="E507" t="s">
        <v>584</v>
      </c>
      <c r="F507">
        <v>2014</v>
      </c>
      <c r="G507">
        <v>561387</v>
      </c>
      <c r="H507">
        <v>384951</v>
      </c>
      <c r="I507">
        <v>26340</v>
      </c>
      <c r="J507">
        <v>20733</v>
      </c>
      <c r="K507">
        <v>14918</v>
      </c>
      <c r="L507">
        <v>13339</v>
      </c>
      <c r="M507">
        <v>12024</v>
      </c>
      <c r="N507">
        <v>7566</v>
      </c>
      <c r="O507">
        <v>6911</v>
      </c>
      <c r="P507">
        <v>5385</v>
      </c>
      <c r="Q507">
        <v>4294</v>
      </c>
      <c r="R507">
        <v>4279</v>
      </c>
      <c r="S507">
        <v>4034</v>
      </c>
      <c r="T507">
        <v>2988</v>
      </c>
      <c r="U507">
        <v>2369</v>
      </c>
      <c r="V507">
        <v>2244</v>
      </c>
      <c r="W507">
        <v>2237</v>
      </c>
      <c r="X507">
        <v>2059</v>
      </c>
      <c r="Y507">
        <v>1836</v>
      </c>
      <c r="Z507">
        <v>1776</v>
      </c>
      <c r="AA507">
        <v>1706</v>
      </c>
      <c r="AB507">
        <v>1661</v>
      </c>
      <c r="AC507">
        <v>1458</v>
      </c>
      <c r="AD507">
        <v>1287</v>
      </c>
      <c r="AE507">
        <v>910</v>
      </c>
      <c r="AF507">
        <v>0</v>
      </c>
      <c r="AG507">
        <v>855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1089547</v>
      </c>
    </row>
    <row r="508" spans="1:50" x14ac:dyDescent="0.2">
      <c r="A508" t="s">
        <v>29</v>
      </c>
      <c r="C508">
        <v>506</v>
      </c>
      <c r="D508">
        <v>14</v>
      </c>
      <c r="E508" t="s">
        <v>585</v>
      </c>
      <c r="F508">
        <v>2014</v>
      </c>
      <c r="G508">
        <v>643473</v>
      </c>
      <c r="H508">
        <v>407562</v>
      </c>
      <c r="I508">
        <v>32384</v>
      </c>
      <c r="J508">
        <v>20458</v>
      </c>
      <c r="K508">
        <v>11704</v>
      </c>
      <c r="L508">
        <v>11478</v>
      </c>
      <c r="M508">
        <v>10891</v>
      </c>
      <c r="N508">
        <v>10733</v>
      </c>
      <c r="O508">
        <v>6007</v>
      </c>
      <c r="P508">
        <v>5941</v>
      </c>
      <c r="Q508">
        <v>5546</v>
      </c>
      <c r="R508">
        <v>5255</v>
      </c>
      <c r="S508">
        <v>3636</v>
      </c>
      <c r="T508">
        <v>3228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1178296</v>
      </c>
    </row>
    <row r="509" spans="1:50" x14ac:dyDescent="0.2">
      <c r="A509" t="s">
        <v>29</v>
      </c>
      <c r="C509">
        <v>507</v>
      </c>
      <c r="D509">
        <v>27</v>
      </c>
      <c r="E509" t="s">
        <v>586</v>
      </c>
      <c r="F509">
        <v>2014</v>
      </c>
      <c r="G509">
        <v>570687</v>
      </c>
      <c r="H509">
        <v>553839</v>
      </c>
      <c r="I509">
        <v>17455</v>
      </c>
      <c r="J509">
        <v>16529</v>
      </c>
      <c r="K509">
        <v>15600</v>
      </c>
      <c r="L509">
        <v>11907</v>
      </c>
      <c r="M509">
        <v>10371</v>
      </c>
      <c r="N509">
        <v>8120</v>
      </c>
      <c r="O509">
        <v>7098</v>
      </c>
      <c r="P509">
        <v>5340</v>
      </c>
      <c r="Q509">
        <v>5104</v>
      </c>
      <c r="R509">
        <v>4711</v>
      </c>
      <c r="S509">
        <v>4537</v>
      </c>
      <c r="T509">
        <v>2904</v>
      </c>
      <c r="U509">
        <v>2901</v>
      </c>
      <c r="V509">
        <v>2736</v>
      </c>
      <c r="W509">
        <v>2560</v>
      </c>
      <c r="X509">
        <v>2301</v>
      </c>
      <c r="Y509">
        <v>2284</v>
      </c>
      <c r="Z509">
        <v>2159</v>
      </c>
      <c r="AA509">
        <v>2114</v>
      </c>
      <c r="AB509">
        <v>1427</v>
      </c>
      <c r="AC509">
        <v>1413</v>
      </c>
      <c r="AD509">
        <v>1225</v>
      </c>
      <c r="AE509">
        <v>1150</v>
      </c>
      <c r="AF509">
        <v>1011</v>
      </c>
      <c r="AG509">
        <v>859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1258342</v>
      </c>
    </row>
    <row r="510" spans="1:50" x14ac:dyDescent="0.2">
      <c r="A510" t="s">
        <v>29</v>
      </c>
      <c r="C510">
        <v>508</v>
      </c>
      <c r="D510">
        <v>35</v>
      </c>
      <c r="E510" t="s">
        <v>587</v>
      </c>
      <c r="F510">
        <v>2014</v>
      </c>
      <c r="G510">
        <v>654922</v>
      </c>
      <c r="H510">
        <v>483276</v>
      </c>
      <c r="I510">
        <v>15139</v>
      </c>
      <c r="J510">
        <v>13147</v>
      </c>
      <c r="K510">
        <v>12699</v>
      </c>
      <c r="L510">
        <v>6750</v>
      </c>
      <c r="M510">
        <v>6250</v>
      </c>
      <c r="N510">
        <v>5796</v>
      </c>
      <c r="O510">
        <v>4963</v>
      </c>
      <c r="P510">
        <v>4316</v>
      </c>
      <c r="Q510">
        <v>3527</v>
      </c>
      <c r="R510">
        <v>3398</v>
      </c>
      <c r="S510">
        <v>2726</v>
      </c>
      <c r="T510">
        <v>2700</v>
      </c>
      <c r="U510">
        <v>2619</v>
      </c>
      <c r="V510">
        <v>2521</v>
      </c>
      <c r="W510">
        <v>2215</v>
      </c>
      <c r="X510">
        <v>2184</v>
      </c>
      <c r="Y510">
        <v>1657</v>
      </c>
      <c r="Z510">
        <v>1596</v>
      </c>
      <c r="AA510">
        <v>1562</v>
      </c>
      <c r="AB510">
        <v>1527</v>
      </c>
      <c r="AC510">
        <v>1507</v>
      </c>
      <c r="AD510">
        <v>1405</v>
      </c>
      <c r="AE510">
        <v>1365</v>
      </c>
      <c r="AF510">
        <v>1329</v>
      </c>
      <c r="AG510">
        <v>1143</v>
      </c>
      <c r="AH510">
        <v>1086</v>
      </c>
      <c r="AI510">
        <v>1026</v>
      </c>
      <c r="AJ510">
        <v>962</v>
      </c>
      <c r="AK510">
        <v>937</v>
      </c>
      <c r="AL510">
        <v>922</v>
      </c>
      <c r="AM510">
        <v>817</v>
      </c>
      <c r="AN510">
        <v>741</v>
      </c>
      <c r="AO510">
        <v>729</v>
      </c>
      <c r="AP510">
        <v>724</v>
      </c>
      <c r="AQ510">
        <v>662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1250845</v>
      </c>
    </row>
    <row r="511" spans="1:50" x14ac:dyDescent="0.2">
      <c r="A511" t="s">
        <v>29</v>
      </c>
      <c r="C511">
        <v>509</v>
      </c>
      <c r="D511">
        <v>28</v>
      </c>
      <c r="E511" t="s">
        <v>588</v>
      </c>
      <c r="F511">
        <v>2014</v>
      </c>
      <c r="G511">
        <v>503514</v>
      </c>
      <c r="H511">
        <v>502297</v>
      </c>
      <c r="I511">
        <v>20255</v>
      </c>
      <c r="J511">
        <v>12308</v>
      </c>
      <c r="K511">
        <v>10797</v>
      </c>
      <c r="L511">
        <v>10600</v>
      </c>
      <c r="M511">
        <v>9955</v>
      </c>
      <c r="N511">
        <v>7091</v>
      </c>
      <c r="O511">
        <v>5868</v>
      </c>
      <c r="P511">
        <v>5524</v>
      </c>
      <c r="Q511">
        <v>5497</v>
      </c>
      <c r="R511">
        <v>4718</v>
      </c>
      <c r="S511">
        <v>3911</v>
      </c>
      <c r="T511">
        <v>3732</v>
      </c>
      <c r="U511">
        <v>3670</v>
      </c>
      <c r="V511">
        <v>3090</v>
      </c>
      <c r="W511">
        <v>2409</v>
      </c>
      <c r="X511">
        <v>2268</v>
      </c>
      <c r="Y511">
        <v>2167</v>
      </c>
      <c r="Z511">
        <v>1665</v>
      </c>
      <c r="AA511">
        <v>1628</v>
      </c>
      <c r="AB511">
        <v>1523</v>
      </c>
      <c r="AC511">
        <v>1395</v>
      </c>
      <c r="AD511">
        <v>1338</v>
      </c>
      <c r="AE511">
        <v>1279</v>
      </c>
      <c r="AF511">
        <v>1053</v>
      </c>
      <c r="AG511">
        <v>904</v>
      </c>
      <c r="AH511">
        <v>753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1131209</v>
      </c>
    </row>
    <row r="512" spans="1:50" x14ac:dyDescent="0.2">
      <c r="A512" t="s">
        <v>29</v>
      </c>
      <c r="C512">
        <v>510</v>
      </c>
      <c r="D512">
        <v>9</v>
      </c>
      <c r="E512" t="s">
        <v>589</v>
      </c>
      <c r="F512">
        <v>2014</v>
      </c>
      <c r="G512">
        <v>385829</v>
      </c>
      <c r="H512">
        <v>261470</v>
      </c>
      <c r="I512">
        <v>38772</v>
      </c>
      <c r="J512">
        <v>33883</v>
      </c>
      <c r="K512">
        <v>16903</v>
      </c>
      <c r="L512">
        <v>9774</v>
      </c>
      <c r="M512">
        <v>8966</v>
      </c>
      <c r="N512">
        <v>8136</v>
      </c>
      <c r="O512">
        <v>6180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769913</v>
      </c>
    </row>
    <row r="513" spans="1:50" x14ac:dyDescent="0.2">
      <c r="A513" t="s">
        <v>29</v>
      </c>
      <c r="C513">
        <v>511</v>
      </c>
      <c r="D513">
        <v>11</v>
      </c>
      <c r="E513" t="s">
        <v>590</v>
      </c>
      <c r="F513">
        <v>2014</v>
      </c>
      <c r="G513">
        <v>465215</v>
      </c>
      <c r="H513">
        <v>430057</v>
      </c>
      <c r="I513">
        <v>31917</v>
      </c>
      <c r="J513">
        <v>23482</v>
      </c>
      <c r="K513">
        <v>14139</v>
      </c>
      <c r="L513">
        <v>10606</v>
      </c>
      <c r="M513">
        <v>9391</v>
      </c>
      <c r="N513">
        <v>8969</v>
      </c>
      <c r="O513">
        <v>8963</v>
      </c>
      <c r="P513">
        <v>7586</v>
      </c>
      <c r="Q513">
        <v>6618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1016943</v>
      </c>
    </row>
    <row r="514" spans="1:50" x14ac:dyDescent="0.2">
      <c r="A514" t="s">
        <v>30</v>
      </c>
      <c r="C514">
        <v>512</v>
      </c>
      <c r="D514">
        <v>12</v>
      </c>
      <c r="E514" t="s">
        <v>591</v>
      </c>
      <c r="F514">
        <v>2014</v>
      </c>
      <c r="G514">
        <v>379507</v>
      </c>
      <c r="H514">
        <v>338170</v>
      </c>
      <c r="I514">
        <v>97374</v>
      </c>
      <c r="J514">
        <v>58034</v>
      </c>
      <c r="K514">
        <v>19875</v>
      </c>
      <c r="L514">
        <v>16354</v>
      </c>
      <c r="M514">
        <v>8686</v>
      </c>
      <c r="N514">
        <v>7906</v>
      </c>
      <c r="O514">
        <v>7661</v>
      </c>
      <c r="P514">
        <v>6761</v>
      </c>
      <c r="Q514">
        <v>6460</v>
      </c>
      <c r="R514">
        <v>4775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951563</v>
      </c>
    </row>
    <row r="515" spans="1:50" x14ac:dyDescent="0.2">
      <c r="A515" t="s">
        <v>30</v>
      </c>
      <c r="C515">
        <v>513</v>
      </c>
      <c r="D515">
        <v>15</v>
      </c>
      <c r="E515" t="s">
        <v>592</v>
      </c>
      <c r="F515">
        <v>2014</v>
      </c>
      <c r="G515">
        <v>335815</v>
      </c>
      <c r="H515">
        <v>296785</v>
      </c>
      <c r="I515">
        <v>158122</v>
      </c>
      <c r="J515">
        <v>26442</v>
      </c>
      <c r="K515">
        <v>18325</v>
      </c>
      <c r="L515">
        <v>10347</v>
      </c>
      <c r="M515">
        <v>10283</v>
      </c>
      <c r="N515">
        <v>9436</v>
      </c>
      <c r="O515">
        <v>9059</v>
      </c>
      <c r="P515">
        <v>6284</v>
      </c>
      <c r="Q515">
        <v>5813</v>
      </c>
      <c r="R515">
        <v>4567</v>
      </c>
      <c r="S515">
        <v>4310</v>
      </c>
      <c r="T515">
        <v>3739</v>
      </c>
      <c r="U515">
        <v>3733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903060</v>
      </c>
    </row>
    <row r="516" spans="1:50" x14ac:dyDescent="0.2">
      <c r="A516" t="s">
        <v>30</v>
      </c>
      <c r="C516">
        <v>514</v>
      </c>
      <c r="D516">
        <v>17</v>
      </c>
      <c r="E516" t="s">
        <v>593</v>
      </c>
      <c r="F516">
        <v>2014</v>
      </c>
      <c r="G516">
        <v>380500</v>
      </c>
      <c r="H516">
        <v>319818</v>
      </c>
      <c r="I516">
        <v>193506</v>
      </c>
      <c r="J516">
        <v>28246</v>
      </c>
      <c r="K516">
        <v>22349</v>
      </c>
      <c r="L516">
        <v>20871</v>
      </c>
      <c r="M516">
        <v>14034</v>
      </c>
      <c r="N516">
        <v>12410</v>
      </c>
      <c r="O516">
        <v>10998</v>
      </c>
      <c r="P516">
        <v>9059</v>
      </c>
      <c r="Q516">
        <v>7447</v>
      </c>
      <c r="R516">
        <v>7278</v>
      </c>
      <c r="S516">
        <v>5132</v>
      </c>
      <c r="T516">
        <v>5080</v>
      </c>
      <c r="U516">
        <v>4466</v>
      </c>
      <c r="V516">
        <v>4344</v>
      </c>
      <c r="W516">
        <v>3904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1049442</v>
      </c>
    </row>
    <row r="517" spans="1:50" x14ac:dyDescent="0.2">
      <c r="A517" t="s">
        <v>30</v>
      </c>
      <c r="C517">
        <v>515</v>
      </c>
      <c r="D517">
        <v>21</v>
      </c>
      <c r="E517" t="s">
        <v>594</v>
      </c>
      <c r="F517">
        <v>2014</v>
      </c>
      <c r="G517">
        <v>295862</v>
      </c>
      <c r="H517">
        <v>117836</v>
      </c>
      <c r="I517">
        <v>104176</v>
      </c>
      <c r="J517">
        <v>35674</v>
      </c>
      <c r="K517">
        <v>29754</v>
      </c>
      <c r="L517">
        <v>21261</v>
      </c>
      <c r="M517">
        <v>17980</v>
      </c>
      <c r="N517">
        <v>14929</v>
      </c>
      <c r="O517">
        <v>10771</v>
      </c>
      <c r="P517">
        <v>8341</v>
      </c>
      <c r="Q517">
        <v>7841</v>
      </c>
      <c r="R517">
        <v>6845</v>
      </c>
      <c r="S517">
        <v>5843</v>
      </c>
      <c r="T517">
        <v>5791</v>
      </c>
      <c r="U517">
        <v>5783</v>
      </c>
      <c r="V517">
        <v>5743</v>
      </c>
      <c r="W517">
        <v>4725</v>
      </c>
      <c r="X517">
        <v>4647</v>
      </c>
      <c r="Y517">
        <v>4209</v>
      </c>
      <c r="Z517">
        <v>2944</v>
      </c>
      <c r="AA517">
        <v>2016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712971</v>
      </c>
    </row>
    <row r="518" spans="1:50" x14ac:dyDescent="0.2">
      <c r="A518" t="s">
        <v>30</v>
      </c>
      <c r="C518">
        <v>516</v>
      </c>
      <c r="D518">
        <v>21</v>
      </c>
      <c r="E518" t="s">
        <v>595</v>
      </c>
      <c r="F518">
        <v>2014</v>
      </c>
      <c r="G518">
        <v>365410</v>
      </c>
      <c r="H518">
        <v>266756</v>
      </c>
      <c r="I518">
        <v>160638</v>
      </c>
      <c r="J518">
        <v>60330</v>
      </c>
      <c r="K518">
        <v>25522</v>
      </c>
      <c r="L518">
        <v>20669</v>
      </c>
      <c r="M518">
        <v>18727</v>
      </c>
      <c r="N518">
        <v>12785</v>
      </c>
      <c r="O518">
        <v>12459</v>
      </c>
      <c r="P518">
        <v>11880</v>
      </c>
      <c r="Q518">
        <v>11117</v>
      </c>
      <c r="R518">
        <v>7838</v>
      </c>
      <c r="S518">
        <v>6992</v>
      </c>
      <c r="T518">
        <v>6966</v>
      </c>
      <c r="U518">
        <v>6712</v>
      </c>
      <c r="V518">
        <v>6334</v>
      </c>
      <c r="W518">
        <v>6141</v>
      </c>
      <c r="X518">
        <v>5996</v>
      </c>
      <c r="Y518">
        <v>4516</v>
      </c>
      <c r="Z518">
        <v>4245</v>
      </c>
      <c r="AA518">
        <v>2873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1024906</v>
      </c>
    </row>
    <row r="519" spans="1:50" x14ac:dyDescent="0.2">
      <c r="A519" t="s">
        <v>30</v>
      </c>
      <c r="C519">
        <v>517</v>
      </c>
      <c r="D519">
        <v>18</v>
      </c>
      <c r="E519" t="s">
        <v>596</v>
      </c>
      <c r="F519">
        <v>2014</v>
      </c>
      <c r="G519">
        <v>391913</v>
      </c>
      <c r="H519">
        <v>351600</v>
      </c>
      <c r="I519">
        <v>57380</v>
      </c>
      <c r="J519">
        <v>55531</v>
      </c>
      <c r="K519">
        <v>40010</v>
      </c>
      <c r="L519">
        <v>13132</v>
      </c>
      <c r="M519">
        <v>11355</v>
      </c>
      <c r="N519">
        <v>7071</v>
      </c>
      <c r="O519">
        <v>6406</v>
      </c>
      <c r="P519">
        <v>6341</v>
      </c>
      <c r="Q519">
        <v>5072</v>
      </c>
      <c r="R519">
        <v>4879</v>
      </c>
      <c r="S519">
        <v>4325</v>
      </c>
      <c r="T519">
        <v>3660</v>
      </c>
      <c r="U519">
        <v>3512</v>
      </c>
      <c r="V519">
        <v>2988</v>
      </c>
      <c r="W519">
        <v>2825</v>
      </c>
      <c r="X519">
        <v>1997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969997</v>
      </c>
    </row>
    <row r="520" spans="1:50" x14ac:dyDescent="0.2">
      <c r="A520" t="s">
        <v>30</v>
      </c>
      <c r="C520">
        <v>518</v>
      </c>
      <c r="D520">
        <v>32</v>
      </c>
      <c r="E520" t="s">
        <v>597</v>
      </c>
      <c r="F520">
        <v>2014</v>
      </c>
      <c r="G520">
        <v>543491</v>
      </c>
      <c r="H520">
        <v>250537</v>
      </c>
      <c r="I520">
        <v>110185</v>
      </c>
      <c r="J520">
        <v>90926</v>
      </c>
      <c r="K520">
        <v>29937</v>
      </c>
      <c r="L520">
        <v>21277</v>
      </c>
      <c r="M520">
        <v>13200</v>
      </c>
      <c r="N520">
        <v>8948</v>
      </c>
      <c r="O520">
        <v>8580</v>
      </c>
      <c r="P520">
        <v>8455</v>
      </c>
      <c r="Q520">
        <v>7675</v>
      </c>
      <c r="R520">
        <v>5441</v>
      </c>
      <c r="S520">
        <v>4531</v>
      </c>
      <c r="T520">
        <v>4169</v>
      </c>
      <c r="U520">
        <v>3814</v>
      </c>
      <c r="V520">
        <v>3413</v>
      </c>
      <c r="W520">
        <v>3120</v>
      </c>
      <c r="X520">
        <v>3094</v>
      </c>
      <c r="Y520">
        <v>3000</v>
      </c>
      <c r="Z520">
        <v>2518</v>
      </c>
      <c r="AA520">
        <v>2104</v>
      </c>
      <c r="AB520">
        <v>2052</v>
      </c>
      <c r="AC520">
        <v>1888</v>
      </c>
      <c r="AD520">
        <v>1537</v>
      </c>
      <c r="AE520">
        <v>1516</v>
      </c>
      <c r="AF520">
        <v>1486</v>
      </c>
      <c r="AG520">
        <v>1457</v>
      </c>
      <c r="AH520">
        <v>1359</v>
      </c>
      <c r="AI520">
        <v>1226</v>
      </c>
      <c r="AJ520">
        <v>1190</v>
      </c>
      <c r="AK520">
        <v>965</v>
      </c>
      <c r="AL520">
        <v>811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1143902</v>
      </c>
    </row>
    <row r="521" spans="1:50" x14ac:dyDescent="0.2">
      <c r="A521" t="s">
        <v>30</v>
      </c>
      <c r="C521">
        <v>519</v>
      </c>
      <c r="D521">
        <v>29</v>
      </c>
      <c r="E521" t="s">
        <v>598</v>
      </c>
      <c r="F521">
        <v>2014</v>
      </c>
      <c r="G521">
        <v>448729</v>
      </c>
      <c r="H521">
        <v>249426</v>
      </c>
      <c r="I521">
        <v>142560</v>
      </c>
      <c r="J521">
        <v>67712</v>
      </c>
      <c r="K521">
        <v>46126</v>
      </c>
      <c r="L521">
        <v>14898</v>
      </c>
      <c r="M521">
        <v>10178</v>
      </c>
      <c r="N521">
        <v>8497</v>
      </c>
      <c r="O521">
        <v>6900</v>
      </c>
      <c r="P521">
        <v>4696</v>
      </c>
      <c r="Q521">
        <v>4409</v>
      </c>
      <c r="R521">
        <v>4240</v>
      </c>
      <c r="S521">
        <v>4190</v>
      </c>
      <c r="T521">
        <v>4085</v>
      </c>
      <c r="U521">
        <v>3877</v>
      </c>
      <c r="V521">
        <v>3823</v>
      </c>
      <c r="W521">
        <v>3411</v>
      </c>
      <c r="X521">
        <v>2889</v>
      </c>
      <c r="Y521">
        <v>2502</v>
      </c>
      <c r="Z521">
        <v>2195</v>
      </c>
      <c r="AA521">
        <v>2130</v>
      </c>
      <c r="AB521">
        <v>2083</v>
      </c>
      <c r="AC521">
        <v>1987</v>
      </c>
      <c r="AD521">
        <v>1605</v>
      </c>
      <c r="AE521">
        <v>1504</v>
      </c>
      <c r="AF521">
        <v>1366</v>
      </c>
      <c r="AG521">
        <v>1296</v>
      </c>
      <c r="AH521">
        <v>1250</v>
      </c>
      <c r="AI521">
        <v>1219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1049783</v>
      </c>
    </row>
    <row r="522" spans="1:50" x14ac:dyDescent="0.2">
      <c r="A522" t="s">
        <v>30</v>
      </c>
      <c r="C522">
        <v>520</v>
      </c>
      <c r="D522">
        <v>16</v>
      </c>
      <c r="E522" t="s">
        <v>599</v>
      </c>
      <c r="F522">
        <v>2014</v>
      </c>
      <c r="G522">
        <v>464153</v>
      </c>
      <c r="H522">
        <v>364277</v>
      </c>
      <c r="I522">
        <v>138109</v>
      </c>
      <c r="J522">
        <v>15629</v>
      </c>
      <c r="K522">
        <v>12632</v>
      </c>
      <c r="L522">
        <v>7145</v>
      </c>
      <c r="M522">
        <v>5655</v>
      </c>
      <c r="N522">
        <v>5406</v>
      </c>
      <c r="O522">
        <v>5378</v>
      </c>
      <c r="P522">
        <v>5300</v>
      </c>
      <c r="Q522">
        <v>4822</v>
      </c>
      <c r="R522">
        <v>4606</v>
      </c>
      <c r="S522">
        <v>4485</v>
      </c>
      <c r="T522">
        <v>4429</v>
      </c>
      <c r="U522">
        <v>3700</v>
      </c>
      <c r="V522">
        <v>3414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1049140</v>
      </c>
    </row>
    <row r="523" spans="1:50" x14ac:dyDescent="0.2">
      <c r="A523" t="s">
        <v>30</v>
      </c>
      <c r="C523">
        <v>521</v>
      </c>
      <c r="D523">
        <v>13</v>
      </c>
      <c r="E523" t="s">
        <v>600</v>
      </c>
      <c r="F523">
        <v>2014</v>
      </c>
      <c r="G523">
        <v>303131</v>
      </c>
      <c r="H523">
        <v>215607</v>
      </c>
      <c r="I523">
        <v>111796</v>
      </c>
      <c r="J523">
        <v>35681</v>
      </c>
      <c r="K523">
        <v>27037</v>
      </c>
      <c r="L523">
        <v>25547</v>
      </c>
      <c r="M523">
        <v>16952</v>
      </c>
      <c r="N523">
        <v>12877</v>
      </c>
      <c r="O523">
        <v>11507</v>
      </c>
      <c r="P523">
        <v>9303</v>
      </c>
      <c r="Q523">
        <v>8895</v>
      </c>
      <c r="R523">
        <v>8607</v>
      </c>
      <c r="S523">
        <v>8346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795286</v>
      </c>
    </row>
    <row r="524" spans="1:50" x14ac:dyDescent="0.2">
      <c r="A524" t="s">
        <v>30</v>
      </c>
      <c r="C524">
        <v>522</v>
      </c>
      <c r="D524">
        <v>15</v>
      </c>
      <c r="E524" t="s">
        <v>601</v>
      </c>
      <c r="F524">
        <v>2014</v>
      </c>
      <c r="G524">
        <v>269185</v>
      </c>
      <c r="H524">
        <v>176937</v>
      </c>
      <c r="I524">
        <v>147017</v>
      </c>
      <c r="J524">
        <v>27158</v>
      </c>
      <c r="K524">
        <v>24514</v>
      </c>
      <c r="L524">
        <v>23816</v>
      </c>
      <c r="M524">
        <v>13566</v>
      </c>
      <c r="N524">
        <v>11822</v>
      </c>
      <c r="O524">
        <v>11364</v>
      </c>
      <c r="P524">
        <v>6596</v>
      </c>
      <c r="Q524">
        <v>6407</v>
      </c>
      <c r="R524">
        <v>4958</v>
      </c>
      <c r="S524">
        <v>4841</v>
      </c>
      <c r="T524">
        <v>4425</v>
      </c>
      <c r="U524">
        <v>4349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736955</v>
      </c>
    </row>
    <row r="525" spans="1:50" x14ac:dyDescent="0.2">
      <c r="A525" t="s">
        <v>30</v>
      </c>
      <c r="C525">
        <v>523</v>
      </c>
      <c r="D525">
        <v>10</v>
      </c>
      <c r="E525" t="s">
        <v>602</v>
      </c>
      <c r="F525">
        <v>2014</v>
      </c>
      <c r="G525">
        <v>226666</v>
      </c>
      <c r="H525">
        <v>220177</v>
      </c>
      <c r="I525">
        <v>118355</v>
      </c>
      <c r="J525">
        <v>26109</v>
      </c>
      <c r="K525">
        <v>16764</v>
      </c>
      <c r="L525">
        <v>13252</v>
      </c>
      <c r="M525">
        <v>11794</v>
      </c>
      <c r="N525">
        <v>6436</v>
      </c>
      <c r="O525">
        <v>6037</v>
      </c>
      <c r="P525">
        <v>5870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651460</v>
      </c>
    </row>
    <row r="526" spans="1:50" x14ac:dyDescent="0.2">
      <c r="A526" t="s">
        <v>30</v>
      </c>
      <c r="C526">
        <v>524</v>
      </c>
      <c r="D526">
        <v>14</v>
      </c>
      <c r="E526" t="s">
        <v>603</v>
      </c>
      <c r="F526">
        <v>2014</v>
      </c>
      <c r="G526">
        <v>476513</v>
      </c>
      <c r="H526">
        <v>212571</v>
      </c>
      <c r="I526">
        <v>156832</v>
      </c>
      <c r="J526">
        <v>37043</v>
      </c>
      <c r="K526">
        <v>20481</v>
      </c>
      <c r="L526">
        <v>18287</v>
      </c>
      <c r="M526">
        <v>9592</v>
      </c>
      <c r="N526">
        <v>9145</v>
      </c>
      <c r="O526">
        <v>8386</v>
      </c>
      <c r="P526">
        <v>7538</v>
      </c>
      <c r="Q526">
        <v>5879</v>
      </c>
      <c r="R526">
        <v>5648</v>
      </c>
      <c r="S526">
        <v>4976</v>
      </c>
      <c r="T526">
        <v>4432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977323</v>
      </c>
    </row>
    <row r="527" spans="1:50" x14ac:dyDescent="0.2">
      <c r="A527" t="s">
        <v>30</v>
      </c>
      <c r="C527">
        <v>525</v>
      </c>
      <c r="D527">
        <v>21</v>
      </c>
      <c r="E527" t="s">
        <v>604</v>
      </c>
      <c r="F527">
        <v>2014</v>
      </c>
      <c r="G527">
        <v>406931</v>
      </c>
      <c r="H527">
        <v>247803</v>
      </c>
      <c r="I527">
        <v>156186</v>
      </c>
      <c r="J527">
        <v>30408</v>
      </c>
      <c r="K527">
        <v>30326</v>
      </c>
      <c r="L527">
        <v>14555</v>
      </c>
      <c r="M527">
        <v>8453</v>
      </c>
      <c r="N527">
        <v>8360</v>
      </c>
      <c r="O527">
        <v>8159</v>
      </c>
      <c r="P527">
        <v>8085</v>
      </c>
      <c r="Q527">
        <v>7140</v>
      </c>
      <c r="R527">
        <v>6827</v>
      </c>
      <c r="S527">
        <v>5152</v>
      </c>
      <c r="T527">
        <v>4481</v>
      </c>
      <c r="U527">
        <v>4423</v>
      </c>
      <c r="V527">
        <v>3752</v>
      </c>
      <c r="W527">
        <v>3540</v>
      </c>
      <c r="X527">
        <v>3365</v>
      </c>
      <c r="Y527">
        <v>3189</v>
      </c>
      <c r="Z527">
        <v>3076</v>
      </c>
      <c r="AA527">
        <v>2941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967152</v>
      </c>
    </row>
    <row r="528" spans="1:50" x14ac:dyDescent="0.2">
      <c r="A528" t="s">
        <v>31</v>
      </c>
      <c r="C528">
        <v>526</v>
      </c>
      <c r="D528">
        <v>17</v>
      </c>
      <c r="E528" t="s">
        <v>605</v>
      </c>
      <c r="F528">
        <v>2014</v>
      </c>
      <c r="G528">
        <v>446733</v>
      </c>
      <c r="H528">
        <v>254230</v>
      </c>
      <c r="I528">
        <v>24043</v>
      </c>
      <c r="J528">
        <v>11538</v>
      </c>
      <c r="K528">
        <v>10762</v>
      </c>
      <c r="L528">
        <v>6672</v>
      </c>
      <c r="M528">
        <v>6577</v>
      </c>
      <c r="N528">
        <v>2302</v>
      </c>
      <c r="O528">
        <v>2007</v>
      </c>
      <c r="P528">
        <v>1958</v>
      </c>
      <c r="Q528">
        <v>1935</v>
      </c>
      <c r="R528">
        <v>1629</v>
      </c>
      <c r="S528">
        <v>1619</v>
      </c>
      <c r="T528">
        <v>1554</v>
      </c>
      <c r="U528">
        <v>900</v>
      </c>
      <c r="V528">
        <v>878</v>
      </c>
      <c r="W528">
        <v>877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776214</v>
      </c>
    </row>
    <row r="529" spans="1:50" x14ac:dyDescent="0.2">
      <c r="A529" t="s">
        <v>31</v>
      </c>
      <c r="C529">
        <v>527</v>
      </c>
      <c r="D529">
        <v>11</v>
      </c>
      <c r="E529" t="s">
        <v>606</v>
      </c>
      <c r="F529">
        <v>2014</v>
      </c>
      <c r="G529">
        <v>405690</v>
      </c>
      <c r="H529">
        <v>221164</v>
      </c>
      <c r="I529">
        <v>9250</v>
      </c>
      <c r="J529">
        <v>8659</v>
      </c>
      <c r="K529">
        <v>7470</v>
      </c>
      <c r="L529">
        <v>6727</v>
      </c>
      <c r="M529">
        <v>6699</v>
      </c>
      <c r="N529">
        <v>6525</v>
      </c>
      <c r="O529">
        <v>4510</v>
      </c>
      <c r="P529">
        <v>3051</v>
      </c>
      <c r="Q529">
        <v>2279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682024</v>
      </c>
    </row>
    <row r="530" spans="1:50" x14ac:dyDescent="0.2">
      <c r="A530" t="s">
        <v>31</v>
      </c>
      <c r="C530">
        <v>528</v>
      </c>
      <c r="D530">
        <v>10</v>
      </c>
      <c r="E530" t="s">
        <v>607</v>
      </c>
      <c r="F530">
        <v>2014</v>
      </c>
      <c r="G530">
        <v>348186</v>
      </c>
      <c r="H530">
        <v>252496</v>
      </c>
      <c r="I530">
        <v>15245</v>
      </c>
      <c r="J530">
        <v>14150</v>
      </c>
      <c r="K530">
        <v>8387</v>
      </c>
      <c r="L530">
        <v>7916</v>
      </c>
      <c r="M530">
        <v>3857</v>
      </c>
      <c r="N530">
        <v>2392</v>
      </c>
      <c r="O530">
        <v>2045</v>
      </c>
      <c r="P530">
        <v>1851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656525</v>
      </c>
    </row>
    <row r="531" spans="1:50" x14ac:dyDescent="0.2">
      <c r="A531" t="s">
        <v>31</v>
      </c>
      <c r="C531">
        <v>529</v>
      </c>
      <c r="D531">
        <v>16</v>
      </c>
      <c r="E531" t="s">
        <v>608</v>
      </c>
      <c r="F531">
        <v>2014</v>
      </c>
      <c r="G531">
        <v>636769</v>
      </c>
      <c r="H531">
        <v>352052</v>
      </c>
      <c r="I531">
        <v>59245</v>
      </c>
      <c r="J531">
        <v>13472</v>
      </c>
      <c r="K531">
        <v>10328</v>
      </c>
      <c r="L531">
        <v>9825</v>
      </c>
      <c r="M531">
        <v>3392</v>
      </c>
      <c r="N531">
        <v>3180</v>
      </c>
      <c r="O531">
        <v>2706</v>
      </c>
      <c r="P531">
        <v>2529</v>
      </c>
      <c r="Q531">
        <v>1869</v>
      </c>
      <c r="R531">
        <v>1635</v>
      </c>
      <c r="S531">
        <v>1530</v>
      </c>
      <c r="T531">
        <v>1064</v>
      </c>
      <c r="U531">
        <v>1037</v>
      </c>
      <c r="V531">
        <v>802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1101435</v>
      </c>
    </row>
    <row r="532" spans="1:50" x14ac:dyDescent="0.2">
      <c r="A532" t="s">
        <v>31</v>
      </c>
      <c r="C532">
        <v>530</v>
      </c>
      <c r="D532">
        <v>25</v>
      </c>
      <c r="E532" t="s">
        <v>609</v>
      </c>
      <c r="F532">
        <v>2014</v>
      </c>
      <c r="G532">
        <v>592320</v>
      </c>
      <c r="H532">
        <v>414498</v>
      </c>
      <c r="I532">
        <v>113663</v>
      </c>
      <c r="J532">
        <v>18170</v>
      </c>
      <c r="K532">
        <v>5765</v>
      </c>
      <c r="L532">
        <v>3741</v>
      </c>
      <c r="M532">
        <v>3740</v>
      </c>
      <c r="N532">
        <v>3049</v>
      </c>
      <c r="O532">
        <v>2769</v>
      </c>
      <c r="P532">
        <v>2535</v>
      </c>
      <c r="Q532">
        <v>2067</v>
      </c>
      <c r="R532">
        <v>1888</v>
      </c>
      <c r="S532">
        <v>1682</v>
      </c>
      <c r="T532">
        <v>1117</v>
      </c>
      <c r="U532">
        <v>1051</v>
      </c>
      <c r="V532">
        <v>1043</v>
      </c>
      <c r="W532">
        <v>1015</v>
      </c>
      <c r="X532">
        <v>915</v>
      </c>
      <c r="Y532">
        <v>820</v>
      </c>
      <c r="Z532">
        <v>765</v>
      </c>
      <c r="AA532">
        <v>710</v>
      </c>
      <c r="AB532">
        <v>664</v>
      </c>
      <c r="AC532">
        <v>637</v>
      </c>
      <c r="AD532">
        <v>614</v>
      </c>
      <c r="AE532">
        <v>454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1175692</v>
      </c>
    </row>
    <row r="533" spans="1:50" x14ac:dyDescent="0.2">
      <c r="A533" t="s">
        <v>32</v>
      </c>
      <c r="C533">
        <v>531</v>
      </c>
      <c r="D533">
        <v>16</v>
      </c>
      <c r="E533" t="s">
        <v>610</v>
      </c>
      <c r="F533">
        <v>2014</v>
      </c>
      <c r="G533">
        <v>90969</v>
      </c>
      <c r="H533">
        <v>83157</v>
      </c>
      <c r="I533">
        <v>3737</v>
      </c>
      <c r="J533">
        <v>2283</v>
      </c>
      <c r="K533">
        <v>1777</v>
      </c>
      <c r="L533">
        <v>1587</v>
      </c>
      <c r="M533">
        <v>1564</v>
      </c>
      <c r="N533">
        <v>1151</v>
      </c>
      <c r="O533">
        <v>1139</v>
      </c>
      <c r="P533">
        <v>847</v>
      </c>
      <c r="Q533">
        <v>436</v>
      </c>
      <c r="R533">
        <v>429</v>
      </c>
      <c r="S533">
        <v>379</v>
      </c>
      <c r="T533">
        <v>334</v>
      </c>
      <c r="U533">
        <v>314</v>
      </c>
      <c r="V533">
        <v>225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190328</v>
      </c>
    </row>
    <row r="534" spans="1:50" x14ac:dyDescent="0.2">
      <c r="A534" t="s">
        <v>33</v>
      </c>
      <c r="C534">
        <v>532</v>
      </c>
      <c r="D534">
        <v>18</v>
      </c>
      <c r="E534" t="s">
        <v>33</v>
      </c>
      <c r="F534">
        <v>2014</v>
      </c>
      <c r="G534">
        <v>191362</v>
      </c>
      <c r="H534">
        <v>121720</v>
      </c>
      <c r="I534">
        <v>108679</v>
      </c>
      <c r="J534">
        <v>15934</v>
      </c>
      <c r="K534">
        <v>3106</v>
      </c>
      <c r="L534">
        <v>2643</v>
      </c>
      <c r="M534">
        <v>2054</v>
      </c>
      <c r="N534">
        <v>1968</v>
      </c>
      <c r="O534">
        <v>997</v>
      </c>
      <c r="P534">
        <v>743</v>
      </c>
      <c r="Q534">
        <v>660</v>
      </c>
      <c r="R534">
        <v>640</v>
      </c>
      <c r="S534">
        <v>613</v>
      </c>
      <c r="T534">
        <v>566</v>
      </c>
      <c r="U534">
        <v>550</v>
      </c>
      <c r="V534">
        <v>434</v>
      </c>
      <c r="W534">
        <v>397</v>
      </c>
      <c r="X534">
        <v>389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453455</v>
      </c>
    </row>
    <row r="535" spans="1:50" x14ac:dyDescent="0.2">
      <c r="A535" t="s">
        <v>34</v>
      </c>
      <c r="C535">
        <v>533</v>
      </c>
      <c r="D535">
        <v>12</v>
      </c>
      <c r="E535" t="s">
        <v>34</v>
      </c>
      <c r="F535">
        <v>2014</v>
      </c>
      <c r="G535">
        <v>80790</v>
      </c>
      <c r="H535">
        <v>74576</v>
      </c>
      <c r="I535">
        <v>2962</v>
      </c>
      <c r="J535">
        <v>1611</v>
      </c>
      <c r="K535">
        <v>1214</v>
      </c>
      <c r="L535">
        <v>1154</v>
      </c>
      <c r="M535">
        <v>982</v>
      </c>
      <c r="N535">
        <v>621</v>
      </c>
      <c r="O535">
        <v>418</v>
      </c>
      <c r="P535">
        <v>378</v>
      </c>
      <c r="Q535">
        <v>348</v>
      </c>
      <c r="R535">
        <v>232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165286</v>
      </c>
    </row>
    <row r="536" spans="1:50" x14ac:dyDescent="0.2">
      <c r="A536" t="s">
        <v>35</v>
      </c>
      <c r="C536">
        <v>534</v>
      </c>
      <c r="D536">
        <v>5</v>
      </c>
      <c r="E536" t="s">
        <v>35</v>
      </c>
      <c r="F536">
        <v>2014</v>
      </c>
      <c r="G536">
        <v>46960</v>
      </c>
      <c r="H536">
        <v>37738</v>
      </c>
      <c r="I536">
        <v>1316</v>
      </c>
      <c r="J536">
        <v>729</v>
      </c>
      <c r="K536">
        <v>490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87233</v>
      </c>
    </row>
    <row r="537" spans="1:50" x14ac:dyDescent="0.2">
      <c r="A537" t="s">
        <v>36</v>
      </c>
      <c r="C537">
        <v>535</v>
      </c>
      <c r="D537">
        <v>25</v>
      </c>
      <c r="E537" t="s">
        <v>611</v>
      </c>
      <c r="F537">
        <v>2014</v>
      </c>
      <c r="G537">
        <v>437938</v>
      </c>
      <c r="H537">
        <v>301618</v>
      </c>
      <c r="I537">
        <v>176206</v>
      </c>
      <c r="J537">
        <v>28605</v>
      </c>
      <c r="K537">
        <v>7746</v>
      </c>
      <c r="L537">
        <v>4534</v>
      </c>
      <c r="M537">
        <v>4505</v>
      </c>
      <c r="N537">
        <v>3531</v>
      </c>
      <c r="O537">
        <v>3390</v>
      </c>
      <c r="P537">
        <v>1829</v>
      </c>
      <c r="Q537">
        <v>1765</v>
      </c>
      <c r="R537">
        <v>1643</v>
      </c>
      <c r="S537">
        <v>1553</v>
      </c>
      <c r="T537">
        <v>1423</v>
      </c>
      <c r="U537">
        <v>881</v>
      </c>
      <c r="V537">
        <v>789</v>
      </c>
      <c r="W537">
        <v>602</v>
      </c>
      <c r="X537">
        <v>592</v>
      </c>
      <c r="Y537">
        <v>538</v>
      </c>
      <c r="Z537">
        <v>0</v>
      </c>
      <c r="AA537">
        <v>308</v>
      </c>
      <c r="AB537">
        <v>290</v>
      </c>
      <c r="AC537">
        <v>272</v>
      </c>
      <c r="AD537">
        <v>263</v>
      </c>
      <c r="AE537">
        <v>253</v>
      </c>
      <c r="AF537">
        <v>251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981325</v>
      </c>
    </row>
    <row r="538" spans="1:50" x14ac:dyDescent="0.2">
      <c r="A538" t="s">
        <v>36</v>
      </c>
      <c r="C538">
        <v>536</v>
      </c>
      <c r="D538">
        <v>24</v>
      </c>
      <c r="E538" t="s">
        <v>612</v>
      </c>
      <c r="F538">
        <v>2014</v>
      </c>
      <c r="G538">
        <v>596125</v>
      </c>
      <c r="H538">
        <v>452041</v>
      </c>
      <c r="I538">
        <v>214792</v>
      </c>
      <c r="J538">
        <v>28135</v>
      </c>
      <c r="K538">
        <v>3824</v>
      </c>
      <c r="L538">
        <v>3191</v>
      </c>
      <c r="M538">
        <v>2419</v>
      </c>
      <c r="N538">
        <v>1921</v>
      </c>
      <c r="O538">
        <v>1892</v>
      </c>
      <c r="P538">
        <v>1695</v>
      </c>
      <c r="Q538">
        <v>1669</v>
      </c>
      <c r="R538">
        <v>1263</v>
      </c>
      <c r="S538">
        <v>1257</v>
      </c>
      <c r="T538">
        <v>879</v>
      </c>
      <c r="U538">
        <v>818</v>
      </c>
      <c r="V538">
        <v>784</v>
      </c>
      <c r="W538">
        <v>745</v>
      </c>
      <c r="X538">
        <v>663</v>
      </c>
      <c r="Y538">
        <v>658</v>
      </c>
      <c r="Z538">
        <v>601</v>
      </c>
      <c r="AA538">
        <v>508</v>
      </c>
      <c r="AB538">
        <v>504</v>
      </c>
      <c r="AC538">
        <v>489</v>
      </c>
      <c r="AD538">
        <v>465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1317338</v>
      </c>
    </row>
    <row r="539" spans="1:50" x14ac:dyDescent="0.2">
      <c r="A539" t="s">
        <v>36</v>
      </c>
      <c r="C539">
        <v>537</v>
      </c>
      <c r="D539">
        <v>24</v>
      </c>
      <c r="E539" t="s">
        <v>613</v>
      </c>
      <c r="F539">
        <v>2014</v>
      </c>
      <c r="G539">
        <v>572202</v>
      </c>
      <c r="H539">
        <v>381739</v>
      </c>
      <c r="I539">
        <v>203240</v>
      </c>
      <c r="J539">
        <v>18575</v>
      </c>
      <c r="K539">
        <v>4975</v>
      </c>
      <c r="L539">
        <v>3894</v>
      </c>
      <c r="M539">
        <v>1708</v>
      </c>
      <c r="N539">
        <v>1515</v>
      </c>
      <c r="O539">
        <v>1153</v>
      </c>
      <c r="P539">
        <v>978</v>
      </c>
      <c r="Q539">
        <v>761</v>
      </c>
      <c r="R539">
        <v>674</v>
      </c>
      <c r="S539">
        <v>668</v>
      </c>
      <c r="T539">
        <v>527</v>
      </c>
      <c r="U539">
        <v>466</v>
      </c>
      <c r="V539">
        <v>422</v>
      </c>
      <c r="W539">
        <v>415</v>
      </c>
      <c r="X539">
        <v>404</v>
      </c>
      <c r="Y539">
        <v>402</v>
      </c>
      <c r="Z539">
        <v>395</v>
      </c>
      <c r="AA539">
        <v>349</v>
      </c>
      <c r="AB539">
        <v>339</v>
      </c>
      <c r="AC539">
        <v>325</v>
      </c>
      <c r="AD539">
        <v>210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1196336</v>
      </c>
    </row>
    <row r="540" spans="1:50" x14ac:dyDescent="0.2">
      <c r="A540" t="s">
        <v>36</v>
      </c>
      <c r="C540">
        <v>538</v>
      </c>
      <c r="D540">
        <v>30</v>
      </c>
      <c r="E540" t="s">
        <v>614</v>
      </c>
      <c r="F540">
        <v>2014</v>
      </c>
      <c r="G540">
        <v>453350</v>
      </c>
      <c r="H540">
        <v>290642</v>
      </c>
      <c r="I540">
        <v>182893</v>
      </c>
      <c r="J540">
        <v>20028</v>
      </c>
      <c r="K540">
        <v>6088</v>
      </c>
      <c r="L540">
        <v>5589</v>
      </c>
      <c r="M540">
        <v>1260</v>
      </c>
      <c r="N540">
        <v>909</v>
      </c>
      <c r="O540">
        <v>887</v>
      </c>
      <c r="P540">
        <v>862</v>
      </c>
      <c r="Q540">
        <v>687</v>
      </c>
      <c r="R540">
        <v>662</v>
      </c>
      <c r="S540">
        <v>582</v>
      </c>
      <c r="T540">
        <v>532</v>
      </c>
      <c r="U540">
        <v>528</v>
      </c>
      <c r="V540">
        <v>499</v>
      </c>
      <c r="W540">
        <v>444</v>
      </c>
      <c r="X540">
        <v>429</v>
      </c>
      <c r="Y540">
        <v>388</v>
      </c>
      <c r="Z540">
        <v>366</v>
      </c>
      <c r="AA540">
        <v>347</v>
      </c>
      <c r="AB540">
        <v>298</v>
      </c>
      <c r="AC540">
        <v>217</v>
      </c>
      <c r="AD540">
        <v>213</v>
      </c>
      <c r="AE540">
        <v>205</v>
      </c>
      <c r="AF540">
        <v>203</v>
      </c>
      <c r="AG540">
        <v>199</v>
      </c>
      <c r="AH540">
        <v>186</v>
      </c>
      <c r="AI540">
        <v>161</v>
      </c>
      <c r="AJ540">
        <v>158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969812</v>
      </c>
    </row>
    <row r="541" spans="1:50" x14ac:dyDescent="0.2">
      <c r="A541" t="s">
        <v>36</v>
      </c>
      <c r="C541">
        <v>539</v>
      </c>
      <c r="D541">
        <v>15</v>
      </c>
      <c r="E541" t="s">
        <v>615</v>
      </c>
      <c r="F541">
        <v>2014</v>
      </c>
      <c r="G541">
        <v>629860</v>
      </c>
      <c r="H541">
        <v>523058</v>
      </c>
      <c r="I541">
        <v>157468</v>
      </c>
      <c r="J541">
        <v>21485</v>
      </c>
      <c r="K541">
        <v>8826</v>
      </c>
      <c r="L541">
        <v>3446</v>
      </c>
      <c r="M541">
        <v>2279</v>
      </c>
      <c r="N541">
        <v>1749</v>
      </c>
      <c r="O541">
        <v>1680</v>
      </c>
      <c r="P541">
        <v>1621</v>
      </c>
      <c r="Q541">
        <v>1584</v>
      </c>
      <c r="R541">
        <v>1107</v>
      </c>
      <c r="S541">
        <v>666</v>
      </c>
      <c r="T541">
        <v>662</v>
      </c>
      <c r="U541">
        <v>545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1356036</v>
      </c>
    </row>
    <row r="542" spans="1:50" x14ac:dyDescent="0.2">
      <c r="A542" t="s">
        <v>36</v>
      </c>
      <c r="C542">
        <v>540</v>
      </c>
      <c r="D542">
        <v>18</v>
      </c>
      <c r="E542" t="s">
        <v>616</v>
      </c>
      <c r="F542">
        <v>2014</v>
      </c>
      <c r="G542">
        <v>651395</v>
      </c>
      <c r="H542">
        <v>382809</v>
      </c>
      <c r="I542">
        <v>193266</v>
      </c>
      <c r="J542">
        <v>84722</v>
      </c>
      <c r="K542">
        <v>8707</v>
      </c>
      <c r="L542">
        <v>7932</v>
      </c>
      <c r="M542">
        <v>5960</v>
      </c>
      <c r="N542">
        <v>3624</v>
      </c>
      <c r="O542">
        <v>3078</v>
      </c>
      <c r="P542">
        <v>1654</v>
      </c>
      <c r="Q542">
        <v>988</v>
      </c>
      <c r="R542">
        <v>805</v>
      </c>
      <c r="S542">
        <v>703</v>
      </c>
      <c r="T542">
        <v>651</v>
      </c>
      <c r="U542">
        <v>458</v>
      </c>
      <c r="V542">
        <v>451</v>
      </c>
      <c r="W542">
        <v>415</v>
      </c>
      <c r="X542">
        <v>353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1347971</v>
      </c>
    </row>
    <row r="543" spans="1:50" x14ac:dyDescent="0.2">
      <c r="A543" t="s">
        <v>36</v>
      </c>
      <c r="C543">
        <v>541</v>
      </c>
      <c r="D543">
        <v>20</v>
      </c>
      <c r="E543" t="s">
        <v>617</v>
      </c>
      <c r="F543">
        <v>2014</v>
      </c>
      <c r="G543">
        <v>497980</v>
      </c>
      <c r="H543">
        <v>390980</v>
      </c>
      <c r="I543">
        <v>125213</v>
      </c>
      <c r="J543">
        <v>56749</v>
      </c>
      <c r="K543">
        <v>10873</v>
      </c>
      <c r="L543">
        <v>4475</v>
      </c>
      <c r="M543">
        <v>4010</v>
      </c>
      <c r="N543">
        <v>2841</v>
      </c>
      <c r="O543">
        <v>1640</v>
      </c>
      <c r="P543">
        <v>1215</v>
      </c>
      <c r="Q543">
        <v>1140</v>
      </c>
      <c r="R543">
        <v>1071</v>
      </c>
      <c r="S543">
        <v>913</v>
      </c>
      <c r="T543">
        <v>803</v>
      </c>
      <c r="U543">
        <v>561</v>
      </c>
      <c r="V543">
        <v>560</v>
      </c>
      <c r="W543">
        <v>412</v>
      </c>
      <c r="X543">
        <v>357</v>
      </c>
      <c r="Y543">
        <v>314</v>
      </c>
      <c r="Z543">
        <v>303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1102410</v>
      </c>
    </row>
    <row r="544" spans="1:50" x14ac:dyDescent="0.2">
      <c r="A544" t="s">
        <v>37</v>
      </c>
      <c r="C544">
        <v>542</v>
      </c>
      <c r="D544">
        <v>7</v>
      </c>
      <c r="E544" t="s">
        <v>37</v>
      </c>
      <c r="F544">
        <v>2014</v>
      </c>
      <c r="G544">
        <v>21665</v>
      </c>
      <c r="H544">
        <v>20130</v>
      </c>
      <c r="I544">
        <v>488</v>
      </c>
      <c r="J544">
        <v>465</v>
      </c>
      <c r="K544">
        <v>187</v>
      </c>
      <c r="L544">
        <v>181</v>
      </c>
      <c r="M544">
        <v>123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43239</v>
      </c>
    </row>
    <row r="545" spans="1:50" x14ac:dyDescent="0.2">
      <c r="A545" t="s">
        <v>38</v>
      </c>
      <c r="C545">
        <v>543</v>
      </c>
      <c r="D545">
        <v>31</v>
      </c>
      <c r="E545" t="s">
        <v>38</v>
      </c>
      <c r="F545">
        <v>2014</v>
      </c>
      <c r="G545">
        <v>255826</v>
      </c>
      <c r="H545">
        <v>194972</v>
      </c>
      <c r="I545">
        <v>132657</v>
      </c>
      <c r="J545">
        <v>60580</v>
      </c>
      <c r="K545">
        <v>22754</v>
      </c>
      <c r="L545">
        <v>22268</v>
      </c>
      <c r="M545">
        <v>12709</v>
      </c>
      <c r="N545">
        <v>8307</v>
      </c>
      <c r="O545">
        <v>5896</v>
      </c>
      <c r="P545">
        <v>3472</v>
      </c>
      <c r="Q545">
        <v>2494</v>
      </c>
      <c r="R545">
        <v>2060</v>
      </c>
      <c r="S545">
        <v>1777</v>
      </c>
      <c r="T545">
        <v>1726</v>
      </c>
      <c r="U545">
        <v>1442</v>
      </c>
      <c r="V545">
        <v>1340</v>
      </c>
      <c r="W545">
        <v>1270</v>
      </c>
      <c r="X545">
        <v>1236</v>
      </c>
      <c r="Y545">
        <v>1144</v>
      </c>
      <c r="Z545">
        <v>767</v>
      </c>
      <c r="AA545">
        <v>747</v>
      </c>
      <c r="AB545">
        <v>746</v>
      </c>
      <c r="AC545">
        <v>610</v>
      </c>
      <c r="AD545">
        <v>497</v>
      </c>
      <c r="AE545">
        <v>477</v>
      </c>
      <c r="AF545">
        <v>467</v>
      </c>
      <c r="AG545">
        <v>465</v>
      </c>
      <c r="AH545">
        <v>438</v>
      </c>
      <c r="AI545">
        <v>366</v>
      </c>
      <c r="AJ545">
        <v>309</v>
      </c>
      <c r="AK545">
        <v>198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740017</v>
      </c>
    </row>
  </sheetData>
  <autoFilter ref="A2:AX54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 candidates_LS-2014</vt:lpstr>
      <vt:lpstr>OWNCM_lim</vt:lpstr>
      <vt:lpstr>4 candidates_LS-2014</vt:lpstr>
      <vt:lpstr>LS-2014-values</vt:lpstr>
    </vt:vector>
  </TitlesOfParts>
  <Company>Investintech.com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dell</cp:lastModifiedBy>
  <dcterms:created xsi:type="dcterms:W3CDTF">2017-05-12T01:17:01Z</dcterms:created>
  <dcterms:modified xsi:type="dcterms:W3CDTF">2017-07-07T15:32:44Z</dcterms:modified>
</cp:coreProperties>
</file>